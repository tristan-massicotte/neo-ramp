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tristanmassicotte/Desktop/internship-2027/companies/1x/site/"/>
    </mc:Choice>
  </mc:AlternateContent>
  <xr:revisionPtr revIDLastSave="0" documentId="13_ncr:1_{7E0B54B8-A4DB-C640-A9D4-6D41DFE6B0B6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README" sheetId="1" r:id="rId1"/>
    <sheet name="Inputs" sheetId="2" r:id="rId2"/>
    <sheet name="Takt" sheetId="3" r:id="rId3"/>
    <sheet name="Station Sizing" sheetId="4" r:id="rId4"/>
    <sheet name="Clear-to-Build" sheetId="5" r:id="rId5"/>
    <sheet name="BOM Chang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2" i="6" l="1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B15" i="6"/>
  <c r="C15" i="6" s="1"/>
  <c r="B14" i="6"/>
  <c r="C14" i="6" s="1"/>
  <c r="B13" i="6"/>
  <c r="C13" i="6" s="1"/>
  <c r="B12" i="6"/>
  <c r="C12" i="6" s="1"/>
  <c r="B11" i="6"/>
  <c r="C11" i="6" s="1"/>
  <c r="B12" i="5"/>
  <c r="D9" i="5"/>
  <c r="D8" i="5"/>
  <c r="D7" i="5"/>
  <c r="D6" i="5"/>
  <c r="D5" i="5"/>
  <c r="A8" i="4"/>
  <c r="A7" i="4"/>
  <c r="A6" i="4"/>
  <c r="A5" i="4"/>
  <c r="B14" i="3"/>
  <c r="B13" i="3"/>
  <c r="B12" i="3"/>
  <c r="F8" i="3"/>
  <c r="G8" i="3" s="1"/>
  <c r="D8" i="3"/>
  <c r="F7" i="3"/>
  <c r="G7" i="3" s="1"/>
  <c r="D7" i="3"/>
  <c r="F6" i="3"/>
  <c r="G6" i="3" s="1"/>
  <c r="D6" i="3"/>
  <c r="F5" i="3"/>
  <c r="G5" i="3" s="1"/>
  <c r="D5" i="3"/>
  <c r="B15" i="2"/>
  <c r="E7" i="3" l="1"/>
  <c r="D7" i="4" s="1"/>
  <c r="E7" i="4" s="1"/>
  <c r="B8" i="3"/>
  <c r="B8" i="4" s="1"/>
  <c r="C8" i="4" s="1"/>
  <c r="B7" i="3"/>
  <c r="B7" i="4" s="1"/>
  <c r="C7" i="4" s="1"/>
  <c r="C7" i="3"/>
  <c r="E8" i="3"/>
  <c r="D8" i="4" s="1"/>
  <c r="E8" i="4" s="1"/>
  <c r="E6" i="3"/>
  <c r="D6" i="4" s="1"/>
  <c r="E6" i="4" s="1"/>
  <c r="E5" i="3"/>
  <c r="D5" i="4" s="1"/>
  <c r="E5" i="4" s="1"/>
  <c r="C8" i="3"/>
  <c r="C6" i="3"/>
  <c r="B6" i="3"/>
  <c r="B6" i="4" s="1"/>
  <c r="C6" i="4" s="1"/>
  <c r="C5" i="3"/>
  <c r="B5" i="3"/>
  <c r="B5" i="4" s="1"/>
  <c r="C5" i="4" s="1"/>
  <c r="E11" i="6"/>
  <c r="F11" i="6"/>
  <c r="B11" i="5"/>
  <c r="E5" i="5" s="1"/>
  <c r="D14" i="3"/>
  <c r="C14" i="3"/>
  <c r="D13" i="3"/>
  <c r="C13" i="3"/>
  <c r="C12" i="3"/>
  <c r="D12" i="3"/>
  <c r="F12" i="6" l="1"/>
  <c r="E12" i="6"/>
  <c r="E6" i="5"/>
  <c r="E7" i="5"/>
  <c r="E8" i="5"/>
  <c r="E9" i="5"/>
  <c r="B13" i="5"/>
  <c r="F13" i="6" l="1"/>
  <c r="E13" i="6"/>
  <c r="F14" i="6" l="1"/>
  <c r="E14" i="6"/>
  <c r="F15" i="6" l="1"/>
  <c r="E15" i="6"/>
  <c r="F16" i="6" l="1"/>
  <c r="E16" i="6"/>
  <c r="F17" i="6" l="1"/>
  <c r="E17" i="6"/>
  <c r="F18" i="6" l="1"/>
  <c r="E18" i="6"/>
  <c r="F19" i="6" l="1"/>
  <c r="E19" i="6"/>
  <c r="F20" i="6" l="1"/>
  <c r="E20" i="6"/>
  <c r="F21" i="6" l="1"/>
  <c r="E21" i="6"/>
  <c r="F22" i="6" l="1"/>
  <c r="B24" i="6" s="1"/>
  <c r="E22" i="6"/>
  <c r="B25" i="6" s="1"/>
  <c r="B26" i="6" s="1"/>
</calcChain>
</file>

<file path=xl/sharedStrings.xml><?xml version="1.0" encoding="utf-8"?>
<sst xmlns="http://schemas.openxmlformats.org/spreadsheetml/2006/main" count="117" uniqueCount="107">
  <si>
    <t>NEO Factory Ramp Model — 10k to 100k robots/yr</t>
  </si>
  <si>
    <t>Prepared by Tristan Massicotte (U of T Industrial Engineering) · October 2026 · ILLUSTRATIVE — built only from public information</t>
  </si>
  <si>
    <t>What this is</t>
  </si>
  <si>
    <t>A small planning model showing what the NEO ramp means on the floor: takt time, motor-line pace, station count, clear-to-build and the excess/obsolete (E&amp;O) risk of a mid-ramp BOM change.</t>
  </si>
  <si>
    <t>What this is NOT</t>
  </si>
  <si>
    <t>It contains no 1X internal data. Every yellow cell is an assumption or placeholder. Replace them with real numbers and every result recalculates.</t>
  </si>
  <si>
    <t>Legend</t>
  </si>
  <si>
    <t>Blue text = input you can change · Yellow fill = key assumption to replace with real data · Black = formula · Green = formula pulling from another tab</t>
  </si>
  <si>
    <t>Tabs</t>
  </si>
  <si>
    <t>Inputs → Takt → Station Sizing → Clear-to-Build → BOM Change</t>
  </si>
  <si>
    <t>Public sources</t>
  </si>
  <si>
    <t>Capacity 10k/yr, target 100k+/yr by end 2027</t>
  </si>
  <si>
    <t>1X, 'NEO Factory | Building Your NEO', 1x.tech/discover/neo-factory (Apr 30 2026); GlobeNewswire release (Apr 30 2026)</t>
  </si>
  <si>
    <t>Single-piece flow, pre-kitted stations, automated motor lines, 17,000 motors built</t>
  </si>
  <si>
    <t>1x.tech/discover/neo-factory (Apr 30 2026)</t>
  </si>
  <si>
    <t>75 degrees of freedom per NEO (22 per hand)</t>
  </si>
  <si>
    <t>humanoid.guide NEO spec sheet (launch spec, Oct 2025). New 25-DoF hands announced Jul 9 2026 may change the count.</t>
  </si>
  <si>
    <t>10,000 hands targeted in 2026</t>
  </si>
  <si>
    <t>1X 'NEO's Hands' announcement (Jul 9 2026), as reported by humanoid.guide and Noqta</t>
  </si>
  <si>
    <t>Five commodity areas</t>
  </si>
  <si>
    <t>1X job posting 'Supply Chain Planner – Advanced Robotics Commodities' (1x.tech/open-positions)</t>
  </si>
  <si>
    <t>Inputs &amp; assumptions</t>
  </si>
  <si>
    <t>Change blue cells. Yellow = assumption that should be replaced with real 1X data.</t>
  </si>
  <si>
    <t>Parameter</t>
  </si>
  <si>
    <t>Value</t>
  </si>
  <si>
    <t>Unit</t>
  </si>
  <si>
    <t>Basis / source</t>
  </si>
  <si>
    <t>Working days per year</t>
  </si>
  <si>
    <t>days</t>
  </si>
  <si>
    <t>Assumption: 5-day weeks, 50 weeks</t>
  </si>
  <si>
    <t>Shifts per day</t>
  </si>
  <si>
    <t>shifts</t>
  </si>
  <si>
    <t>Assumption</t>
  </si>
  <si>
    <t>Hours per shift</t>
  </si>
  <si>
    <t>h</t>
  </si>
  <si>
    <t>Availability (share of shift time the line runs)</t>
  </si>
  <si>
    <t>%</t>
  </si>
  <si>
    <t>Assumption: 100% gives the theoretical takt. Set ~0.85–0.90 for breaks, changeovers, downtime</t>
  </si>
  <si>
    <t>Actuated joints (≈ motors) per robot</t>
  </si>
  <si>
    <t>motors</t>
  </si>
  <si>
    <t>Public spec: 75 DoF (humanoid.guide). Assumes 1 motor per actuated joint</t>
  </si>
  <si>
    <t>Hands per robot</t>
  </si>
  <si>
    <t>hands</t>
  </si>
  <si>
    <t>Physical</t>
  </si>
  <si>
    <t>Hands targeted for 2026 (public)</t>
  </si>
  <si>
    <t>1X hand announcement, Jul 9 2026</t>
  </si>
  <si>
    <t>Final-assembly work content per robot</t>
  </si>
  <si>
    <t>labour-min</t>
  </si>
  <si>
    <t>PLACEHOLDER — no public data. Replace with real routing time</t>
  </si>
  <si>
    <t>Line balance efficiency</t>
  </si>
  <si>
    <t>Assumption: typical manual line</t>
  </si>
  <si>
    <t>Automated motor-cell cycle time</t>
  </si>
  <si>
    <t>sec / motor</t>
  </si>
  <si>
    <t>PLACEHOLDER — no public data</t>
  </si>
  <si>
    <t>Available hours per year</t>
  </si>
  <si>
    <t>Days × shifts × hours × availability</t>
  </si>
  <si>
    <t>Takt time at each ramp step</t>
  </si>
  <si>
    <t>Takt = available time ÷ demand. The pace one station must hit for the line to meet volume.</t>
  </si>
  <si>
    <t>Annual volume (robots/yr)</t>
  </si>
  <si>
    <t>Robot takt (min)</t>
  </si>
  <si>
    <t>Robots per hour</t>
  </si>
  <si>
    <t>Motors per year</t>
  </si>
  <si>
    <t>Motor takt (sec)</t>
  </si>
  <si>
    <t>Hands per year needed</t>
  </si>
  <si>
    <t>Hands needed ÷ 2026 hand target</t>
  </si>
  <si>
    <t>Shift-pattern sensitivity at 100,000 robots/yr (robot takt, min)</t>
  </si>
  <si>
    <t>Available h/yr</t>
  </si>
  <si>
    <t>Reading: going from 10k to 100k/yr cuts robot takt 10×. The motor line feels it most: ~75 motors per robot means a motor every ~2 s at 100k on two shifts.</t>
  </si>
  <si>
    <t>Hands check: if the 10,000-hand 2026 target counts single hands, it covers ~5,000 robots (2 hands each). Worth confirming how it is counted.</t>
  </si>
  <si>
    <t>What the takt means for the floor</t>
  </si>
  <si>
    <t>Manual stations = work content ÷ (takt × balance efficiency). Motor cells = cell cycle ÷ motor takt. Both rounded up.</t>
  </si>
  <si>
    <t>Manual assembly stations needed</t>
  </si>
  <si>
    <t>Automated motor cells needed</t>
  </si>
  <si>
    <t>Work content and motor-cell cycle are placeholders (yellow on Inputs). The point is the scaling: ~10× the stations or cells for the same design, which is why the ramp is an automation and line-design problem, not just more people.</t>
  </si>
  <si>
    <t>Clear-to-build: how many robots can we start today?</t>
  </si>
  <si>
    <t>Buildable = MIN over commodities of FLOOR(on-hand kits ÷ kits per robot). Example quantities only.</t>
  </si>
  <si>
    <t>Commodity area (from 1X job posting)</t>
  </si>
  <si>
    <t>On-hand (kits)</t>
  </si>
  <si>
    <t>Kits per robot</t>
  </si>
  <si>
    <t>Robots buildable</t>
  </si>
  <si>
    <t>Is constraint?</t>
  </si>
  <si>
    <t>Motors, PCBs &amp; batteries</t>
  </si>
  <si>
    <t>Head, neck, spine &amp; torso assemblies</t>
  </si>
  <si>
    <t>Upper arm, forearm &amp; hand mechanisms</t>
  </si>
  <si>
    <t>Leg &amp; foot structural systems</t>
  </si>
  <si>
    <t>Final assembly &amp; test components</t>
  </si>
  <si>
    <t>Clear to build (robots)</t>
  </si>
  <si>
    <t>Weekly build plan (robots/week)</t>
  </si>
  <si>
    <t>Weeks of coverage</t>
  </si>
  <si>
    <t>Example values only. A 'hand mechanisms' line at 2 kits per robot is often where the constraint hides: the per-robot quantity doubles the pull on supply.</t>
  </si>
  <si>
    <t>Mid-ramp BOM change: excess &amp; obsolete (E&amp;O) exposure</t>
  </si>
  <si>
    <t>Example: an old-revision hand module is replaced at a cut-in week. Stock left at cut-in becomes E&amp;O. Change the cut-in week and receipts to see the trade-off.</t>
  </si>
  <si>
    <t>Old-revision parts on hand at week 1</t>
  </si>
  <si>
    <t>Parts per robot</t>
  </si>
  <si>
    <t>Builds per week</t>
  </si>
  <si>
    <t>Cut-in week of new revision (first week on new part)</t>
  </si>
  <si>
    <t>Unit cost of old part ($)</t>
  </si>
  <si>
    <t>Week</t>
  </si>
  <si>
    <t>Planned builds</t>
  </si>
  <si>
    <t>Old-part usage</t>
  </si>
  <si>
    <t>Old-part receipts (open POs)</t>
  </si>
  <si>
    <t>Ending old-part inventory</t>
  </si>
  <si>
    <t>Shortage (units)</t>
  </si>
  <si>
    <t>Shortage before cut-in (units short)</t>
  </si>
  <si>
    <t>E&amp;O units (old parts left after cut-in)</t>
  </si>
  <si>
    <t>E&amp;O exposure ($)</t>
  </si>
  <si>
    <t>Reading: receipts already on order after the cut-in decision are what turn a design improvement into a write-off. Pulling cut-in earlier, or cancelling/pushing POs inside the supplier's window, is the planning lever.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</si>
</sst>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\x"/>
    <numFmt numFmtId="166" formatCode="\$#,##0"/>
  </numFmts>
  <fonts count="12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555555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sz val="9"/>
      <name val="Arial"/>
      <family val="2"/>
    </font>
    <font>
      <b/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000000"/>
      <name val="Arial"/>
      <family val="2"/>
    </font>
    <font>
      <i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center" wrapText="1"/>
    </xf>
    <xf numFmtId="0" fontId="4" fillId="0" borderId="0" xfId="0" applyFont="1"/>
    <xf numFmtId="1" fontId="6" fillId="3" borderId="1" xfId="0" applyNumberFormat="1" applyFont="1" applyFill="1" applyBorder="1"/>
    <xf numFmtId="0" fontId="7" fillId="0" borderId="0" xfId="0" applyFont="1" applyAlignment="1">
      <alignment wrapText="1"/>
    </xf>
    <xf numFmtId="9" fontId="6" fillId="3" borderId="1" xfId="0" applyNumberFormat="1" applyFont="1" applyFill="1" applyBorder="1"/>
    <xf numFmtId="1" fontId="6" fillId="0" borderId="1" xfId="0" applyNumberFormat="1" applyFont="1" applyBorder="1"/>
    <xf numFmtId="3" fontId="6" fillId="0" borderId="1" xfId="0" applyNumberFormat="1" applyFont="1" applyBorder="1"/>
    <xf numFmtId="3" fontId="6" fillId="3" borderId="1" xfId="0" applyNumberFormat="1" applyFont="1" applyFill="1" applyBorder="1"/>
    <xf numFmtId="3" fontId="8" fillId="0" borderId="1" xfId="0" applyNumberFormat="1" applyFont="1" applyBorder="1"/>
    <xf numFmtId="0" fontId="7" fillId="0" borderId="0" xfId="0" applyFont="1"/>
    <xf numFmtId="164" fontId="9" fillId="0" borderId="1" xfId="0" applyNumberFormat="1" applyFont="1" applyBorder="1"/>
    <xf numFmtId="3" fontId="9" fillId="0" borderId="1" xfId="0" applyNumberFormat="1" applyFont="1" applyBorder="1"/>
    <xf numFmtId="2" fontId="9" fillId="0" borderId="1" xfId="0" applyNumberFormat="1" applyFont="1" applyBorder="1"/>
    <xf numFmtId="165" fontId="9" fillId="0" borderId="1" xfId="0" applyNumberFormat="1" applyFont="1" applyBorder="1"/>
    <xf numFmtId="164" fontId="10" fillId="0" borderId="1" xfId="0" applyNumberFormat="1" applyFont="1" applyBorder="1"/>
    <xf numFmtId="0" fontId="11" fillId="0" borderId="0" xfId="0" applyFont="1"/>
    <xf numFmtId="3" fontId="10" fillId="0" borderId="1" xfId="0" applyNumberFormat="1" applyFont="1" applyBorder="1"/>
    <xf numFmtId="0" fontId="10" fillId="0" borderId="1" xfId="0" applyFont="1" applyBorder="1"/>
    <xf numFmtId="166" fontId="6" fillId="3" borderId="1" xfId="0" applyNumberFormat="1" applyFont="1" applyFill="1" applyBorder="1"/>
    <xf numFmtId="166" fontId="8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showGridLines="0" zoomScale="156" zoomScaleNormal="100" workbookViewId="0">
      <selection activeCell="B4" sqref="B4"/>
    </sheetView>
  </sheetViews>
  <sheetFormatPr baseColWidth="10" defaultColWidth="8.6640625" defaultRowHeight="15" x14ac:dyDescent="0.2"/>
  <cols>
    <col min="1" max="1" width="44" customWidth="1"/>
    <col min="2" max="2" width="100" customWidth="1"/>
  </cols>
  <sheetData>
    <row r="1" spans="1:2" ht="18" x14ac:dyDescent="0.2">
      <c r="A1" s="1" t="s">
        <v>0</v>
      </c>
    </row>
    <row r="2" spans="1:2" x14ac:dyDescent="0.2">
      <c r="A2" s="2" t="s">
        <v>1</v>
      </c>
    </row>
    <row r="4" spans="1:2" ht="30" x14ac:dyDescent="0.2">
      <c r="A4" s="3" t="s">
        <v>2</v>
      </c>
      <c r="B4" s="4" t="s">
        <v>3</v>
      </c>
    </row>
    <row r="5" spans="1:2" ht="30" x14ac:dyDescent="0.2">
      <c r="A5" s="3" t="s">
        <v>4</v>
      </c>
      <c r="B5" s="4" t="s">
        <v>5</v>
      </c>
    </row>
    <row r="6" spans="1:2" ht="30" x14ac:dyDescent="0.2">
      <c r="A6" s="3" t="s">
        <v>6</v>
      </c>
      <c r="B6" s="4" t="s">
        <v>7</v>
      </c>
    </row>
    <row r="7" spans="1:2" x14ac:dyDescent="0.2">
      <c r="A7" s="3" t="s">
        <v>8</v>
      </c>
      <c r="B7" s="4" t="s">
        <v>9</v>
      </c>
    </row>
    <row r="8" spans="1:2" x14ac:dyDescent="0.2">
      <c r="A8" s="3"/>
      <c r="B8" s="4"/>
    </row>
    <row r="9" spans="1:2" x14ac:dyDescent="0.2">
      <c r="A9" s="3" t="s">
        <v>10</v>
      </c>
      <c r="B9" s="4"/>
    </row>
    <row r="10" spans="1:2" ht="30" x14ac:dyDescent="0.2">
      <c r="A10" s="3" t="s">
        <v>11</v>
      </c>
      <c r="B10" s="4" t="s">
        <v>12</v>
      </c>
    </row>
    <row r="11" spans="1:2" x14ac:dyDescent="0.2">
      <c r="A11" s="3" t="s">
        <v>13</v>
      </c>
      <c r="B11" s="4" t="s">
        <v>14</v>
      </c>
    </row>
    <row r="12" spans="1:2" ht="30" x14ac:dyDescent="0.2">
      <c r="A12" s="3" t="s">
        <v>15</v>
      </c>
      <c r="B12" s="4" t="s">
        <v>16</v>
      </c>
    </row>
    <row r="13" spans="1:2" x14ac:dyDescent="0.2">
      <c r="A13" s="3" t="s">
        <v>17</v>
      </c>
      <c r="B13" s="4" t="s">
        <v>18</v>
      </c>
    </row>
    <row r="14" spans="1:2" x14ac:dyDescent="0.2">
      <c r="A14" s="3" t="s">
        <v>19</v>
      </c>
      <c r="B14" s="4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showGridLines="0" zoomScale="150" zoomScaleNormal="100" workbookViewId="0">
      <selection activeCell="B22" sqref="B22"/>
    </sheetView>
  </sheetViews>
  <sheetFormatPr baseColWidth="10" defaultColWidth="8.6640625" defaultRowHeight="15" x14ac:dyDescent="0.2"/>
  <cols>
    <col min="1" max="1" width="46" customWidth="1"/>
    <col min="2" max="2" width="12" customWidth="1"/>
    <col min="3" max="3" width="13" customWidth="1"/>
    <col min="4" max="4" width="70" customWidth="1"/>
  </cols>
  <sheetData>
    <row r="1" spans="1:4" ht="18" x14ac:dyDescent="0.2">
      <c r="A1" s="1" t="s">
        <v>21</v>
      </c>
    </row>
    <row r="2" spans="1:4" x14ac:dyDescent="0.2">
      <c r="A2" s="2" t="s">
        <v>22</v>
      </c>
    </row>
    <row r="4" spans="1:4" x14ac:dyDescent="0.2">
      <c r="A4" s="5" t="s">
        <v>23</v>
      </c>
      <c r="B4" s="5" t="s">
        <v>24</v>
      </c>
      <c r="C4" s="5" t="s">
        <v>25</v>
      </c>
      <c r="D4" s="5" t="s">
        <v>26</v>
      </c>
    </row>
    <row r="5" spans="1:4" x14ac:dyDescent="0.2">
      <c r="A5" s="6" t="s">
        <v>27</v>
      </c>
      <c r="B5" s="7">
        <v>250</v>
      </c>
      <c r="C5" s="6" t="s">
        <v>28</v>
      </c>
      <c r="D5" s="8" t="s">
        <v>29</v>
      </c>
    </row>
    <row r="6" spans="1:4" x14ac:dyDescent="0.2">
      <c r="A6" s="6" t="s">
        <v>30</v>
      </c>
      <c r="B6" s="7">
        <v>2</v>
      </c>
      <c r="C6" s="6" t="s">
        <v>31</v>
      </c>
      <c r="D6" s="8" t="s">
        <v>32</v>
      </c>
    </row>
    <row r="7" spans="1:4" x14ac:dyDescent="0.2">
      <c r="A7" s="6" t="s">
        <v>33</v>
      </c>
      <c r="B7" s="7">
        <v>8</v>
      </c>
      <c r="C7" s="6" t="s">
        <v>34</v>
      </c>
      <c r="D7" s="8" t="s">
        <v>32</v>
      </c>
    </row>
    <row r="8" spans="1:4" x14ac:dyDescent="0.2">
      <c r="A8" s="6" t="s">
        <v>35</v>
      </c>
      <c r="B8" s="9">
        <v>1</v>
      </c>
      <c r="C8" s="6" t="s">
        <v>36</v>
      </c>
      <c r="D8" s="8" t="s">
        <v>37</v>
      </c>
    </row>
    <row r="9" spans="1:4" x14ac:dyDescent="0.2">
      <c r="A9" s="6" t="s">
        <v>38</v>
      </c>
      <c r="B9" s="7">
        <v>75</v>
      </c>
      <c r="C9" s="6" t="s">
        <v>39</v>
      </c>
      <c r="D9" s="8" t="s">
        <v>40</v>
      </c>
    </row>
    <row r="10" spans="1:4" x14ac:dyDescent="0.2">
      <c r="A10" s="6" t="s">
        <v>41</v>
      </c>
      <c r="B10" s="10">
        <v>2</v>
      </c>
      <c r="C10" s="6" t="s">
        <v>42</v>
      </c>
      <c r="D10" s="8" t="s">
        <v>43</v>
      </c>
    </row>
    <row r="11" spans="1:4" x14ac:dyDescent="0.2">
      <c r="A11" s="6" t="s">
        <v>44</v>
      </c>
      <c r="B11" s="11">
        <v>10000</v>
      </c>
      <c r="C11" s="6" t="s">
        <v>42</v>
      </c>
      <c r="D11" s="8" t="s">
        <v>45</v>
      </c>
    </row>
    <row r="12" spans="1:4" x14ac:dyDescent="0.2">
      <c r="A12" s="6" t="s">
        <v>46</v>
      </c>
      <c r="B12" s="12">
        <v>900</v>
      </c>
      <c r="C12" s="6" t="s">
        <v>47</v>
      </c>
      <c r="D12" s="8" t="s">
        <v>48</v>
      </c>
    </row>
    <row r="13" spans="1:4" x14ac:dyDescent="0.2">
      <c r="A13" s="6" t="s">
        <v>49</v>
      </c>
      <c r="B13" s="9">
        <v>0.85</v>
      </c>
      <c r="C13" s="6" t="s">
        <v>36</v>
      </c>
      <c r="D13" s="8" t="s">
        <v>50</v>
      </c>
    </row>
    <row r="14" spans="1:4" x14ac:dyDescent="0.2">
      <c r="A14" s="6" t="s">
        <v>51</v>
      </c>
      <c r="B14" s="7">
        <v>30</v>
      </c>
      <c r="C14" s="6" t="s">
        <v>52</v>
      </c>
      <c r="D14" s="8" t="s">
        <v>53</v>
      </c>
    </row>
    <row r="15" spans="1:4" x14ac:dyDescent="0.2">
      <c r="A15" s="3" t="s">
        <v>54</v>
      </c>
      <c r="B15" s="13">
        <f>B5*B6*B7*B8</f>
        <v>4000</v>
      </c>
      <c r="C15" s="6" t="s">
        <v>34</v>
      </c>
      <c r="D15" s="14" t="s">
        <v>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"/>
  <sheetViews>
    <sheetView showGridLines="0" zoomScale="134" zoomScaleNormal="100" workbookViewId="0"/>
  </sheetViews>
  <sheetFormatPr baseColWidth="10" defaultColWidth="8.6640625" defaultRowHeight="15" x14ac:dyDescent="0.2"/>
  <cols>
    <col min="1" max="1" width="24" customWidth="1"/>
    <col min="2" max="2" width="16" customWidth="1"/>
    <col min="3" max="3" width="15" customWidth="1"/>
    <col min="4" max="4" width="16" customWidth="1"/>
    <col min="5" max="5" width="15" customWidth="1"/>
    <col min="6" max="6" width="20" customWidth="1"/>
    <col min="7" max="7" width="22" customWidth="1"/>
  </cols>
  <sheetData>
    <row r="1" spans="1:7" ht="18" x14ac:dyDescent="0.2">
      <c r="A1" s="1" t="s">
        <v>56</v>
      </c>
    </row>
    <row r="2" spans="1:7" x14ac:dyDescent="0.2">
      <c r="A2" s="2" t="s">
        <v>57</v>
      </c>
    </row>
    <row r="4" spans="1:7" ht="31.5" customHeight="1" x14ac:dyDescent="0.2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5" t="s">
        <v>63</v>
      </c>
      <c r="G4" s="5" t="s">
        <v>64</v>
      </c>
    </row>
    <row r="5" spans="1:7" x14ac:dyDescent="0.2">
      <c r="A5" s="11">
        <v>10000</v>
      </c>
      <c r="B5" s="15">
        <f>Inputs!$B$15*60/A5</f>
        <v>24</v>
      </c>
      <c r="C5" s="15">
        <f>A5/Inputs!$B$15</f>
        <v>2.5</v>
      </c>
      <c r="D5" s="16">
        <f>A5*Inputs!$B$9</f>
        <v>750000</v>
      </c>
      <c r="E5" s="17">
        <f>Inputs!$B$15*3600/D5</f>
        <v>19.2</v>
      </c>
      <c r="F5" s="16">
        <f>A5*Inputs!$B$10</f>
        <v>20000</v>
      </c>
      <c r="G5" s="18">
        <f>F5/Inputs!$B$11</f>
        <v>2</v>
      </c>
    </row>
    <row r="6" spans="1:7" x14ac:dyDescent="0.2">
      <c r="A6" s="11">
        <v>25000</v>
      </c>
      <c r="B6" s="15">
        <f>Inputs!$B$15*60/A6</f>
        <v>9.6</v>
      </c>
      <c r="C6" s="15">
        <f>A6/Inputs!$B$15</f>
        <v>6.25</v>
      </c>
      <c r="D6" s="16">
        <f>A6*Inputs!$B$9</f>
        <v>1875000</v>
      </c>
      <c r="E6" s="17">
        <f>Inputs!$B$15*3600/D6</f>
        <v>7.68</v>
      </c>
      <c r="F6" s="16">
        <f>A6*Inputs!$B$10</f>
        <v>50000</v>
      </c>
      <c r="G6" s="18">
        <f>F6/Inputs!$B$11</f>
        <v>5</v>
      </c>
    </row>
    <row r="7" spans="1:7" x14ac:dyDescent="0.2">
      <c r="A7" s="11">
        <v>50000</v>
      </c>
      <c r="B7" s="15">
        <f>Inputs!$B$15*60/A7</f>
        <v>4.8</v>
      </c>
      <c r="C7" s="15">
        <f>A7/Inputs!$B$15</f>
        <v>12.5</v>
      </c>
      <c r="D7" s="16">
        <f>A7*Inputs!$B$9</f>
        <v>3750000</v>
      </c>
      <c r="E7" s="17">
        <f>Inputs!$B$15*3600/D7</f>
        <v>3.84</v>
      </c>
      <c r="F7" s="16">
        <f>A7*Inputs!$B$10</f>
        <v>100000</v>
      </c>
      <c r="G7" s="18">
        <f>F7/Inputs!$B$11</f>
        <v>10</v>
      </c>
    </row>
    <row r="8" spans="1:7" x14ac:dyDescent="0.2">
      <c r="A8" s="11">
        <v>100000</v>
      </c>
      <c r="B8" s="15">
        <f>Inputs!$B$15*60/A8</f>
        <v>2.4</v>
      </c>
      <c r="C8" s="15">
        <f>A8/Inputs!$B$15</f>
        <v>25</v>
      </c>
      <c r="D8" s="16">
        <f>A8*Inputs!$B$9</f>
        <v>7500000</v>
      </c>
      <c r="E8" s="17">
        <f>Inputs!$B$15*3600/D8</f>
        <v>1.92</v>
      </c>
      <c r="F8" s="16">
        <f>A8*Inputs!$B$10</f>
        <v>200000</v>
      </c>
      <c r="G8" s="18">
        <f>F8/Inputs!$B$11</f>
        <v>20</v>
      </c>
    </row>
    <row r="10" spans="1:7" x14ac:dyDescent="0.2">
      <c r="A10" s="3" t="s">
        <v>65</v>
      </c>
    </row>
    <row r="11" spans="1:7" ht="30" x14ac:dyDescent="0.2">
      <c r="A11" s="5" t="s">
        <v>30</v>
      </c>
      <c r="B11" s="5" t="s">
        <v>66</v>
      </c>
      <c r="C11" s="5" t="s">
        <v>59</v>
      </c>
      <c r="D11" s="5" t="s">
        <v>62</v>
      </c>
    </row>
    <row r="12" spans="1:7" x14ac:dyDescent="0.2">
      <c r="A12" s="10">
        <v>1</v>
      </c>
      <c r="B12" s="16">
        <f>Inputs!$B$5*A12*Inputs!$B$7*Inputs!$B$8</f>
        <v>2000</v>
      </c>
      <c r="C12" s="19">
        <f>B12*60/100000</f>
        <v>1.2</v>
      </c>
      <c r="D12" s="17">
        <f>B12*3600/(100000*Inputs!$B$9)</f>
        <v>0.96</v>
      </c>
    </row>
    <row r="13" spans="1:7" x14ac:dyDescent="0.2">
      <c r="A13" s="10">
        <v>2</v>
      </c>
      <c r="B13" s="16">
        <f>Inputs!$B$5*A13*Inputs!$B$7*Inputs!$B$8</f>
        <v>4000</v>
      </c>
      <c r="C13" s="19">
        <f>B13*60/100000</f>
        <v>2.4</v>
      </c>
      <c r="D13" s="17">
        <f>B13*3600/(100000*Inputs!$B$9)</f>
        <v>1.92</v>
      </c>
    </row>
    <row r="14" spans="1:7" x14ac:dyDescent="0.2">
      <c r="A14" s="10">
        <v>3</v>
      </c>
      <c r="B14" s="16">
        <f>Inputs!$B$5*A14*Inputs!$B$7*Inputs!$B$8</f>
        <v>6000</v>
      </c>
      <c r="C14" s="19">
        <f>B14*60/100000</f>
        <v>3.6</v>
      </c>
      <c r="D14" s="17">
        <f>B14*3600/(100000*Inputs!$B$9)</f>
        <v>2.88</v>
      </c>
    </row>
    <row r="16" spans="1:7" x14ac:dyDescent="0.2">
      <c r="A16" s="20" t="s">
        <v>67</v>
      </c>
    </row>
    <row r="17" spans="1:1" x14ac:dyDescent="0.2">
      <c r="A17" s="20" t="s">
        <v>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showGridLines="0" zoomScale="150" zoomScaleNormal="100" workbookViewId="0"/>
  </sheetViews>
  <sheetFormatPr baseColWidth="10" defaultColWidth="8.6640625" defaultRowHeight="15" x14ac:dyDescent="0.2"/>
  <cols>
    <col min="1" max="1" width="24" customWidth="1"/>
    <col min="2" max="2" width="16" customWidth="1"/>
    <col min="3" max="3" width="26" customWidth="1"/>
    <col min="4" max="4" width="16" customWidth="1"/>
    <col min="5" max="5" width="26" customWidth="1"/>
  </cols>
  <sheetData>
    <row r="1" spans="1:5" ht="18" x14ac:dyDescent="0.2">
      <c r="A1" s="1" t="s">
        <v>69</v>
      </c>
    </row>
    <row r="2" spans="1:5" x14ac:dyDescent="0.2">
      <c r="A2" s="2" t="s">
        <v>70</v>
      </c>
    </row>
    <row r="4" spans="1:5" ht="31.5" customHeight="1" x14ac:dyDescent="0.2">
      <c r="A4" s="5" t="s">
        <v>58</v>
      </c>
      <c r="B4" s="5" t="s">
        <v>59</v>
      </c>
      <c r="C4" s="5" t="s">
        <v>71</v>
      </c>
      <c r="D4" s="5" t="s">
        <v>62</v>
      </c>
      <c r="E4" s="5" t="s">
        <v>72</v>
      </c>
    </row>
    <row r="5" spans="1:5" x14ac:dyDescent="0.2">
      <c r="A5" s="16">
        <f>Takt!A5</f>
        <v>10000</v>
      </c>
      <c r="B5" s="15">
        <f>Takt!B5</f>
        <v>24</v>
      </c>
      <c r="C5" s="16">
        <f>ROUNDUP(Inputs!$B$12/(B5*Inputs!$B$13),0)</f>
        <v>45</v>
      </c>
      <c r="D5" s="17">
        <f>Takt!E5</f>
        <v>19.2</v>
      </c>
      <c r="E5" s="16">
        <f>ROUNDUP(Inputs!$B$14/D5,0)</f>
        <v>2</v>
      </c>
    </row>
    <row r="6" spans="1:5" x14ac:dyDescent="0.2">
      <c r="A6" s="16">
        <f>Takt!A6</f>
        <v>25000</v>
      </c>
      <c r="B6" s="15">
        <f>Takt!B6</f>
        <v>9.6</v>
      </c>
      <c r="C6" s="16">
        <f>ROUNDUP(Inputs!$B$12/(B6*Inputs!$B$13),0)</f>
        <v>111</v>
      </c>
      <c r="D6" s="17">
        <f>Takt!E6</f>
        <v>7.68</v>
      </c>
      <c r="E6" s="16">
        <f>ROUNDUP(Inputs!$B$14/D6,0)</f>
        <v>4</v>
      </c>
    </row>
    <row r="7" spans="1:5" x14ac:dyDescent="0.2">
      <c r="A7" s="16">
        <f>Takt!A7</f>
        <v>50000</v>
      </c>
      <c r="B7" s="15">
        <f>Takt!B7</f>
        <v>4.8</v>
      </c>
      <c r="C7" s="16">
        <f>ROUNDUP(Inputs!$B$12/(B7*Inputs!$B$13),0)</f>
        <v>221</v>
      </c>
      <c r="D7" s="17">
        <f>Takt!E7</f>
        <v>3.84</v>
      </c>
      <c r="E7" s="16">
        <f>ROUNDUP(Inputs!$B$14/D7,0)</f>
        <v>8</v>
      </c>
    </row>
    <row r="8" spans="1:5" x14ac:dyDescent="0.2">
      <c r="A8" s="16">
        <f>Takt!A8</f>
        <v>100000</v>
      </c>
      <c r="B8" s="15">
        <f>Takt!B8</f>
        <v>2.4</v>
      </c>
      <c r="C8" s="16">
        <f>ROUNDUP(Inputs!$B$12/(B8*Inputs!$B$13),0)</f>
        <v>442</v>
      </c>
      <c r="D8" s="17">
        <f>Takt!E8</f>
        <v>1.92</v>
      </c>
      <c r="E8" s="16">
        <f>ROUNDUP(Inputs!$B$14/D8,0)</f>
        <v>16</v>
      </c>
    </row>
    <row r="10" spans="1:5" x14ac:dyDescent="0.2">
      <c r="A10" s="20" t="s">
        <v>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5"/>
  <sheetViews>
    <sheetView showGridLines="0" tabSelected="1" zoomScale="160" zoomScaleNormal="100" workbookViewId="0">
      <selection activeCell="C10" sqref="C10"/>
    </sheetView>
  </sheetViews>
  <sheetFormatPr baseColWidth="10" defaultColWidth="8.6640625" defaultRowHeight="15" x14ac:dyDescent="0.2"/>
  <cols>
    <col min="1" max="1" width="40" customWidth="1"/>
    <col min="2" max="2" width="16" customWidth="1"/>
    <col min="3" max="3" width="15" customWidth="1"/>
    <col min="4" max="4" width="17" customWidth="1"/>
    <col min="5" max="5" width="16" customWidth="1"/>
  </cols>
  <sheetData>
    <row r="1" spans="1:5" ht="18" x14ac:dyDescent="0.2">
      <c r="A1" s="1" t="s">
        <v>74</v>
      </c>
    </row>
    <row r="2" spans="1:5" x14ac:dyDescent="0.2">
      <c r="A2" s="2" t="s">
        <v>75</v>
      </c>
    </row>
    <row r="4" spans="1:5" x14ac:dyDescent="0.2">
      <c r="A4" s="5" t="s">
        <v>76</v>
      </c>
      <c r="B4" s="5" t="s">
        <v>77</v>
      </c>
      <c r="C4" s="5" t="s">
        <v>78</v>
      </c>
      <c r="D4" s="5" t="s">
        <v>79</v>
      </c>
      <c r="E4" s="5" t="s">
        <v>80</v>
      </c>
    </row>
    <row r="5" spans="1:5" x14ac:dyDescent="0.2">
      <c r="A5" s="6" t="s">
        <v>81</v>
      </c>
      <c r="B5" s="12">
        <v>1800</v>
      </c>
      <c r="C5" s="10">
        <v>1</v>
      </c>
      <c r="D5" s="21">
        <f>INT(B5/C5)</f>
        <v>1800</v>
      </c>
      <c r="E5" s="22" t="str">
        <f>IF(D5=$B$11,"◄ CONSTRAINT","")</f>
        <v/>
      </c>
    </row>
    <row r="6" spans="1:5" x14ac:dyDescent="0.2">
      <c r="A6" s="6" t="s">
        <v>82</v>
      </c>
      <c r="B6" s="12">
        <v>1300</v>
      </c>
      <c r="C6" s="10">
        <v>1</v>
      </c>
      <c r="D6" s="21">
        <f>INT(B6/C6)</f>
        <v>1300</v>
      </c>
      <c r="E6" s="22" t="str">
        <f>IF(D6=$B$11,"◄ CONSTRAINT","")</f>
        <v/>
      </c>
    </row>
    <row r="7" spans="1:5" x14ac:dyDescent="0.2">
      <c r="A7" s="6" t="s">
        <v>83</v>
      </c>
      <c r="B7" s="12">
        <v>1900</v>
      </c>
      <c r="C7" s="10">
        <v>2</v>
      </c>
      <c r="D7" s="21">
        <f>INT(B7/C7)</f>
        <v>950</v>
      </c>
      <c r="E7" s="22" t="str">
        <f>IF(D7=$B$11,"◄ CONSTRAINT","")</f>
        <v>◄ CONSTRAINT</v>
      </c>
    </row>
    <row r="8" spans="1:5" x14ac:dyDescent="0.2">
      <c r="A8" s="6" t="s">
        <v>84</v>
      </c>
      <c r="B8" s="12">
        <v>2400</v>
      </c>
      <c r="C8" s="10">
        <v>2</v>
      </c>
      <c r="D8" s="21">
        <f>INT(B8/C8)</f>
        <v>1200</v>
      </c>
      <c r="E8" s="22" t="str">
        <f>IF(D8=$B$11,"◄ CONSTRAINT","")</f>
        <v/>
      </c>
    </row>
    <row r="9" spans="1:5" x14ac:dyDescent="0.2">
      <c r="A9" s="6" t="s">
        <v>85</v>
      </c>
      <c r="B9" s="12">
        <v>1500</v>
      </c>
      <c r="C9" s="10">
        <v>1</v>
      </c>
      <c r="D9" s="21">
        <f>INT(B9/C9)</f>
        <v>1500</v>
      </c>
      <c r="E9" s="22" t="str">
        <f>IF(D9=$B$11,"◄ CONSTRAINT","")</f>
        <v/>
      </c>
    </row>
    <row r="11" spans="1:5" x14ac:dyDescent="0.2">
      <c r="A11" s="3" t="s">
        <v>86</v>
      </c>
      <c r="B11" s="13">
        <f>MIN(D5:D9)</f>
        <v>950</v>
      </c>
    </row>
    <row r="12" spans="1:5" x14ac:dyDescent="0.2">
      <c r="A12" s="6" t="s">
        <v>87</v>
      </c>
      <c r="B12" s="16">
        <f>Takt!A5/Inputs!B5*5</f>
        <v>200</v>
      </c>
    </row>
    <row r="13" spans="1:5" x14ac:dyDescent="0.2">
      <c r="A13" s="6" t="s">
        <v>88</v>
      </c>
      <c r="B13" s="19">
        <f>B11/B12</f>
        <v>4.75</v>
      </c>
    </row>
    <row r="15" spans="1:5" x14ac:dyDescent="0.2">
      <c r="A15" s="20" t="s">
        <v>89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8"/>
  <sheetViews>
    <sheetView showGridLines="0" zoomScale="150" zoomScaleNormal="100" workbookViewId="0">
      <selection activeCell="C6" sqref="C6"/>
    </sheetView>
  </sheetViews>
  <sheetFormatPr baseColWidth="10" defaultColWidth="8.6640625" defaultRowHeight="15" x14ac:dyDescent="0.2"/>
  <cols>
    <col min="1" max="1" width="50" customWidth="1"/>
    <col min="2" max="3" width="15" customWidth="1"/>
    <col min="4" max="4" width="26" customWidth="1"/>
    <col min="5" max="5" width="24" customWidth="1"/>
    <col min="6" max="6" width="16" customWidth="1"/>
  </cols>
  <sheetData>
    <row r="1" spans="1:6" ht="18" x14ac:dyDescent="0.2">
      <c r="A1" s="1" t="s">
        <v>90</v>
      </c>
    </row>
    <row r="2" spans="1:6" x14ac:dyDescent="0.2">
      <c r="A2" s="2" t="s">
        <v>91</v>
      </c>
    </row>
    <row r="4" spans="1:6" x14ac:dyDescent="0.2">
      <c r="A4" s="6" t="s">
        <v>92</v>
      </c>
      <c r="B4" s="12">
        <v>1200</v>
      </c>
    </row>
    <row r="5" spans="1:6" x14ac:dyDescent="0.2">
      <c r="A5" s="6" t="s">
        <v>93</v>
      </c>
      <c r="B5" s="10">
        <v>2</v>
      </c>
    </row>
    <row r="6" spans="1:6" x14ac:dyDescent="0.2">
      <c r="A6" s="6" t="s">
        <v>94</v>
      </c>
      <c r="B6" s="12">
        <v>200</v>
      </c>
    </row>
    <row r="7" spans="1:6" x14ac:dyDescent="0.2">
      <c r="A7" s="6" t="s">
        <v>95</v>
      </c>
      <c r="B7" s="7">
        <v>6</v>
      </c>
    </row>
    <row r="8" spans="1:6" x14ac:dyDescent="0.2">
      <c r="A8" s="6" t="s">
        <v>96</v>
      </c>
      <c r="B8" s="23">
        <v>450</v>
      </c>
    </row>
    <row r="10" spans="1:6" ht="31.5" customHeight="1" x14ac:dyDescent="0.2">
      <c r="A10" s="5" t="s">
        <v>97</v>
      </c>
      <c r="B10" s="5" t="s">
        <v>98</v>
      </c>
      <c r="C10" s="5" t="s">
        <v>99</v>
      </c>
      <c r="D10" s="5" t="s">
        <v>100</v>
      </c>
      <c r="E10" s="5" t="s">
        <v>101</v>
      </c>
      <c r="F10" s="5" t="s">
        <v>102</v>
      </c>
    </row>
    <row r="11" spans="1:6" x14ac:dyDescent="0.2">
      <c r="A11" s="10">
        <v>1</v>
      </c>
      <c r="B11" s="21">
        <f t="shared" ref="B11:B22" si="0">$B$6</f>
        <v>200</v>
      </c>
      <c r="C11" s="21">
        <f t="shared" ref="C11:C22" si="1">IF(A11&lt;$B$7,B11*$B$5,0)</f>
        <v>400</v>
      </c>
      <c r="D11" s="12">
        <v>0</v>
      </c>
      <c r="E11" s="21">
        <f>MAX(0,$B$4+D11-C11)</f>
        <v>800</v>
      </c>
      <c r="F11" s="21">
        <f>MAX(0,C11-($B$4+D11))</f>
        <v>0</v>
      </c>
    </row>
    <row r="12" spans="1:6" x14ac:dyDescent="0.2">
      <c r="A12" s="10">
        <v>2</v>
      </c>
      <c r="B12" s="21">
        <f t="shared" si="0"/>
        <v>200</v>
      </c>
      <c r="C12" s="21">
        <f t="shared" si="1"/>
        <v>400</v>
      </c>
      <c r="D12" s="12">
        <v>400</v>
      </c>
      <c r="E12" s="21">
        <f t="shared" ref="E12:E22" si="2">MAX(0,E11+D12-C12)</f>
        <v>800</v>
      </c>
      <c r="F12" s="21">
        <f t="shared" ref="F12:F22" si="3">MAX(0,C12-(E11+D12))</f>
        <v>0</v>
      </c>
    </row>
    <row r="13" spans="1:6" x14ac:dyDescent="0.2">
      <c r="A13" s="10">
        <v>3</v>
      </c>
      <c r="B13" s="21">
        <f t="shared" si="0"/>
        <v>200</v>
      </c>
      <c r="C13" s="21">
        <f t="shared" si="1"/>
        <v>400</v>
      </c>
      <c r="D13" s="12">
        <v>400</v>
      </c>
      <c r="E13" s="21">
        <f t="shared" si="2"/>
        <v>800</v>
      </c>
      <c r="F13" s="21">
        <f t="shared" si="3"/>
        <v>0</v>
      </c>
    </row>
    <row r="14" spans="1:6" x14ac:dyDescent="0.2">
      <c r="A14" s="10">
        <v>4</v>
      </c>
      <c r="B14" s="21">
        <f t="shared" si="0"/>
        <v>200</v>
      </c>
      <c r="C14" s="21">
        <f t="shared" si="1"/>
        <v>400</v>
      </c>
      <c r="D14" s="12">
        <v>400</v>
      </c>
      <c r="E14" s="21">
        <f t="shared" si="2"/>
        <v>800</v>
      </c>
      <c r="F14" s="21">
        <f t="shared" si="3"/>
        <v>0</v>
      </c>
    </row>
    <row r="15" spans="1:6" x14ac:dyDescent="0.2">
      <c r="A15" s="10">
        <v>5</v>
      </c>
      <c r="B15" s="21">
        <f t="shared" si="0"/>
        <v>200</v>
      </c>
      <c r="C15" s="21">
        <f t="shared" si="1"/>
        <v>400</v>
      </c>
      <c r="D15" s="12">
        <v>400</v>
      </c>
      <c r="E15" s="21">
        <f t="shared" si="2"/>
        <v>800</v>
      </c>
      <c r="F15" s="21">
        <f t="shared" si="3"/>
        <v>0</v>
      </c>
    </row>
    <row r="16" spans="1:6" x14ac:dyDescent="0.2">
      <c r="A16" s="10">
        <v>6</v>
      </c>
      <c r="B16" s="21">
        <f t="shared" si="0"/>
        <v>200</v>
      </c>
      <c r="C16" s="21">
        <f t="shared" si="1"/>
        <v>0</v>
      </c>
      <c r="D16" s="12">
        <v>400</v>
      </c>
      <c r="E16" s="21">
        <f t="shared" si="2"/>
        <v>1200</v>
      </c>
      <c r="F16" s="21">
        <f t="shared" si="3"/>
        <v>0</v>
      </c>
    </row>
    <row r="17" spans="1:6" x14ac:dyDescent="0.2">
      <c r="A17" s="10">
        <v>7</v>
      </c>
      <c r="B17" s="21">
        <f t="shared" si="0"/>
        <v>200</v>
      </c>
      <c r="C17" s="21">
        <f t="shared" si="1"/>
        <v>0</v>
      </c>
      <c r="D17" s="12">
        <v>0</v>
      </c>
      <c r="E17" s="21">
        <f t="shared" si="2"/>
        <v>1200</v>
      </c>
      <c r="F17" s="21">
        <f t="shared" si="3"/>
        <v>0</v>
      </c>
    </row>
    <row r="18" spans="1:6" x14ac:dyDescent="0.2">
      <c r="A18" s="10">
        <v>8</v>
      </c>
      <c r="B18" s="21">
        <f t="shared" si="0"/>
        <v>200</v>
      </c>
      <c r="C18" s="21">
        <f t="shared" si="1"/>
        <v>0</v>
      </c>
      <c r="D18" s="12">
        <v>0</v>
      </c>
      <c r="E18" s="21">
        <f t="shared" si="2"/>
        <v>1200</v>
      </c>
      <c r="F18" s="21">
        <f t="shared" si="3"/>
        <v>0</v>
      </c>
    </row>
    <row r="19" spans="1:6" x14ac:dyDescent="0.2">
      <c r="A19" s="10">
        <v>9</v>
      </c>
      <c r="B19" s="21">
        <f t="shared" si="0"/>
        <v>200</v>
      </c>
      <c r="C19" s="21">
        <f t="shared" si="1"/>
        <v>0</v>
      </c>
      <c r="D19" s="12">
        <v>0</v>
      </c>
      <c r="E19" s="21">
        <f t="shared" si="2"/>
        <v>1200</v>
      </c>
      <c r="F19" s="21">
        <f t="shared" si="3"/>
        <v>0</v>
      </c>
    </row>
    <row r="20" spans="1:6" x14ac:dyDescent="0.2">
      <c r="A20" s="10">
        <v>10</v>
      </c>
      <c r="B20" s="21">
        <f t="shared" si="0"/>
        <v>200</v>
      </c>
      <c r="C20" s="21">
        <f t="shared" si="1"/>
        <v>0</v>
      </c>
      <c r="D20" s="12">
        <v>0</v>
      </c>
      <c r="E20" s="21">
        <f t="shared" si="2"/>
        <v>1200</v>
      </c>
      <c r="F20" s="21">
        <f t="shared" si="3"/>
        <v>0</v>
      </c>
    </row>
    <row r="21" spans="1:6" x14ac:dyDescent="0.2">
      <c r="A21" s="10">
        <v>11</v>
      </c>
      <c r="B21" s="21">
        <f t="shared" si="0"/>
        <v>200</v>
      </c>
      <c r="C21" s="21">
        <f t="shared" si="1"/>
        <v>0</v>
      </c>
      <c r="D21" s="12">
        <v>0</v>
      </c>
      <c r="E21" s="21">
        <f t="shared" si="2"/>
        <v>1200</v>
      </c>
      <c r="F21" s="21">
        <f t="shared" si="3"/>
        <v>0</v>
      </c>
    </row>
    <row r="22" spans="1:6" x14ac:dyDescent="0.2">
      <c r="A22" s="10">
        <v>12</v>
      </c>
      <c r="B22" s="21">
        <f t="shared" si="0"/>
        <v>200</v>
      </c>
      <c r="C22" s="21">
        <f t="shared" si="1"/>
        <v>0</v>
      </c>
      <c r="D22" s="12">
        <v>0</v>
      </c>
      <c r="E22" s="21">
        <f t="shared" si="2"/>
        <v>1200</v>
      </c>
      <c r="F22" s="21">
        <f t="shared" si="3"/>
        <v>0</v>
      </c>
    </row>
    <row r="24" spans="1:6" x14ac:dyDescent="0.2">
      <c r="A24" s="3" t="s">
        <v>103</v>
      </c>
      <c r="B24" s="21">
        <f>SUM(F11:F22)</f>
        <v>0</v>
      </c>
    </row>
    <row r="25" spans="1:6" x14ac:dyDescent="0.2">
      <c r="A25" s="3" t="s">
        <v>104</v>
      </c>
      <c r="B25" s="13">
        <f>INDEX(E11:E22,12)</f>
        <v>1200</v>
      </c>
    </row>
    <row r="26" spans="1:6" x14ac:dyDescent="0.2">
      <c r="A26" s="3" t="s">
        <v>105</v>
      </c>
      <c r="B26" s="24">
        <f>B25*B8</f>
        <v>540000</v>
      </c>
    </row>
    <row r="28" spans="1:6" x14ac:dyDescent="0.2">
      <c r="A28" s="20" t="s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Takt</vt:lpstr>
      <vt:lpstr>Station Sizing</vt:lpstr>
      <vt:lpstr>Clear-to-Build</vt:lpstr>
      <vt:lpstr>BOM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Tristan Massicotte</cp:lastModifiedBy>
  <cp:revision>0</cp:revision>
  <dcterms:created xsi:type="dcterms:W3CDTF">2026-10-29T21:18:49Z</dcterms:created>
  <dcterms:modified xsi:type="dcterms:W3CDTF">2026-10-30T20:05:54Z</dcterms:modified>
  <dc:language>en-US</dc:language>
</cp:coreProperties>
</file>