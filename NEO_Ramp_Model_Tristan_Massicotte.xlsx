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tristanmassicotte/Desktop/internship-2027/companies/1x/model/"/>
    </mc:Choice>
  </mc:AlternateContent>
  <xr:revisionPtr revIDLastSave="0" documentId="13_ncr:1_{817D9FEB-0D10-954B-9624-ECAC0B45AE09}" xr6:coauthVersionLast="47" xr6:coauthVersionMax="47" xr10:uidLastSave="{00000000-0000-0000-0000-000000000000}"/>
  <bookViews>
    <workbookView xWindow="0" yWindow="600" windowWidth="28800" windowHeight="16220" xr2:uid="{00000000-000D-0000-FFFF-FFFF00000000}"/>
  </bookViews>
  <sheets>
    <sheet name="README" sheetId="1" r:id="rId1"/>
    <sheet name="Inputs" sheetId="2" r:id="rId2"/>
    <sheet name="Takt" sheetId="3" r:id="rId3"/>
    <sheet name="Station Sizing" sheetId="4" r:id="rId4"/>
    <sheet name="Clear-to-Build" sheetId="5" r:id="rId5"/>
    <sheet name="BOM Chan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B15" i="6"/>
  <c r="C15" i="6" s="1"/>
  <c r="B14" i="6"/>
  <c r="C14" i="6" s="1"/>
  <c r="B13" i="6"/>
  <c r="C13" i="6" s="1"/>
  <c r="B12" i="6"/>
  <c r="C12" i="6" s="1"/>
  <c r="B11" i="6"/>
  <c r="C11" i="6" s="1"/>
  <c r="B12" i="5"/>
  <c r="D9" i="5"/>
  <c r="D8" i="5"/>
  <c r="D7" i="5"/>
  <c r="D6" i="5"/>
  <c r="D5" i="5"/>
  <c r="B11" i="5" s="1"/>
  <c r="A8" i="4"/>
  <c r="A7" i="4"/>
  <c r="A6" i="4"/>
  <c r="A5" i="4"/>
  <c r="B14" i="3"/>
  <c r="B13" i="3"/>
  <c r="B12" i="3"/>
  <c r="D8" i="3"/>
  <c r="D7" i="3"/>
  <c r="D6" i="3"/>
  <c r="D5" i="3"/>
  <c r="B13" i="2"/>
  <c r="B5" i="3" s="1"/>
  <c r="B5" i="4" s="1"/>
  <c r="C5" i="4" s="1"/>
  <c r="E5" i="5" l="1"/>
  <c r="E6" i="5"/>
  <c r="E7" i="5"/>
  <c r="E8" i="5"/>
  <c r="C12" i="3"/>
  <c r="D12" i="3"/>
  <c r="F11" i="6"/>
  <c r="E11" i="6"/>
  <c r="E9" i="5"/>
  <c r="B13" i="5"/>
  <c r="C14" i="3"/>
  <c r="D14" i="3"/>
  <c r="C13" i="3"/>
  <c r="D13" i="3"/>
  <c r="E5" i="3"/>
  <c r="D5" i="4" s="1"/>
  <c r="E5" i="4" s="1"/>
  <c r="C5" i="3"/>
  <c r="E8" i="3"/>
  <c r="D8" i="4" s="1"/>
  <c r="E8" i="4" s="1"/>
  <c r="C8" i="3"/>
  <c r="B8" i="3"/>
  <c r="B8" i="4" s="1"/>
  <c r="C8" i="4" s="1"/>
  <c r="E7" i="3"/>
  <c r="D7" i="4" s="1"/>
  <c r="E7" i="4" s="1"/>
  <c r="C7" i="3"/>
  <c r="B7" i="3"/>
  <c r="B7" i="4" s="1"/>
  <c r="C7" i="4" s="1"/>
  <c r="E6" i="3"/>
  <c r="D6" i="4" s="1"/>
  <c r="E6" i="4" s="1"/>
  <c r="B6" i="3"/>
  <c r="B6" i="4" s="1"/>
  <c r="C6" i="4" s="1"/>
  <c r="C6" i="3"/>
  <c r="F12" i="6" l="1"/>
  <c r="E12" i="6"/>
  <c r="F13" i="6" l="1"/>
  <c r="E13" i="6"/>
  <c r="F14" i="6" l="1"/>
  <c r="E14" i="6"/>
  <c r="F15" i="6" l="1"/>
  <c r="E15" i="6"/>
  <c r="F16" i="6" l="1"/>
  <c r="E16" i="6"/>
  <c r="F17" i="6" l="1"/>
  <c r="E17" i="6"/>
  <c r="F18" i="6" l="1"/>
  <c r="E18" i="6"/>
  <c r="F19" i="6" l="1"/>
  <c r="E19" i="6"/>
  <c r="F20" i="6" l="1"/>
  <c r="E20" i="6"/>
  <c r="F21" i="6" l="1"/>
  <c r="E21" i="6"/>
  <c r="F22" i="6" l="1"/>
  <c r="B24" i="6" s="1"/>
  <c r="E22" i="6"/>
  <c r="B25" i="6" s="1"/>
  <c r="B26" i="6" s="1"/>
</calcChain>
</file>

<file path=xl/sharedStrings.xml><?xml version="1.0" encoding="utf-8"?>
<sst xmlns="http://schemas.openxmlformats.org/spreadsheetml/2006/main" count="106" uniqueCount="97">
  <si>
    <t>NEO Factory ramp model: 10k to 100k robots a year</t>
  </si>
  <si>
    <t>Tristan Massicotte, U of T Industrial Engineering, October 2026. Built from public information only, so every 1X-specific number in here is my estimate.</t>
  </si>
  <si>
    <t>What it does</t>
  </si>
  <si>
    <t>I built this to see what the ramp means on the floor: takt, motor-line pace, how many stations you'd need, clear-to-build, and how much old stock a mid-ramp part change could leave behind.</t>
  </si>
  <si>
    <t>What's real</t>
  </si>
  <si>
    <t>There is no 1X internal data in here. Yellow cells are my assumptions. Put your real numbers in and everything recalculates.</t>
  </si>
  <si>
    <t>Colours</t>
  </si>
  <si>
    <t>Blue = input, change it. Yellow = my assumption, replace it. Black = formula. Green = formula pulling from another tab.</t>
  </si>
  <si>
    <t>Tabs</t>
  </si>
  <si>
    <t>Inputs, Takt, Station Sizing, Clear-to-Build, BOM Change</t>
  </si>
  <si>
    <t>Where the public numbers come from</t>
  </si>
  <si>
    <t>Capacity 10k/yr, target 100k+/yr by end 2027</t>
  </si>
  <si>
    <t>1X, 'NEO Factory | Building Your NEO', 1x.tech/discover/neo-factory (Apr 30 2026); GlobeNewswire release (Apr 30 2026)</t>
  </si>
  <si>
    <t>Single-piece flow, pre-kitted stations, automated motor lines, 17,000 motors built</t>
  </si>
  <si>
    <t>1x.tech/discover/neo-factory (Apr 30 2026)</t>
  </si>
  <si>
    <t>75 degrees of freedom per NEO (22 per hand)</t>
  </si>
  <si>
    <t>humanoid.guide NEO spec sheet (launch spec, Oct 2025). New 25-DoF hands announced Jul 9 2026 may change the count.</t>
  </si>
  <si>
    <t>Five commodity areas</t>
  </si>
  <si>
    <t>1X job posting 'Supply Chain Planner – Advanced Robotics Commodities' (1x.tech/open-positions)</t>
  </si>
  <si>
    <t>Inputs</t>
  </si>
  <si>
    <t>Change the blue cells. The yellow ones are my guesses; replace them with real numbers if you have them.</t>
  </si>
  <si>
    <t>Parameter</t>
  </si>
  <si>
    <t>Value</t>
  </si>
  <si>
    <t>Unit</t>
  </si>
  <si>
    <t>Where it comes from</t>
  </si>
  <si>
    <t>Working days per year</t>
  </si>
  <si>
    <t>days</t>
  </si>
  <si>
    <t>My assumption: 5-day weeks, 50 weeks a year</t>
  </si>
  <si>
    <t>Shifts per day</t>
  </si>
  <si>
    <t>shifts</t>
  </si>
  <si>
    <t>My assumption</t>
  </si>
  <si>
    <t>Hours per shift</t>
  </si>
  <si>
    <t>h</t>
  </si>
  <si>
    <t>Availability (share of shift time the line runs)</t>
  </si>
  <si>
    <t>%</t>
  </si>
  <si>
    <t>100% gives the theoretical takt. I'd use 85 to 90% once breaks, changeovers and downtime are in.</t>
  </si>
  <si>
    <t>Actuated joints (≈ motors) per robot</t>
  </si>
  <si>
    <t>motors</t>
  </si>
  <si>
    <t>75 DoF from the public spec (humanoid.guide). I'm assuming one motor per joint.</t>
  </si>
  <si>
    <t>Final-assembly work content per robot</t>
  </si>
  <si>
    <t>labour-min</t>
  </si>
  <si>
    <t>No public number, so this is a placeholder. The real routing time goes here.</t>
  </si>
  <si>
    <t>Line balance efficiency</t>
  </si>
  <si>
    <t>My assumption for a manual line</t>
  </si>
  <si>
    <t>Automated motor-cell cycle time</t>
  </si>
  <si>
    <t>sec / motor</t>
  </si>
  <si>
    <t>No public number, so this is a placeholder.</t>
  </si>
  <si>
    <t>Available hours per year</t>
  </si>
  <si>
    <t>Days × shifts × hours × availability</t>
  </si>
  <si>
    <t>Takt at each ramp step</t>
  </si>
  <si>
    <t>Takt = available time ÷ demand: how often a finished robot has to come off the line.</t>
  </si>
  <si>
    <t>Annual volume (robots/yr)</t>
  </si>
  <si>
    <t>Robot takt (min)</t>
  </si>
  <si>
    <t>Robots per hour</t>
  </si>
  <si>
    <t>Motors per year</t>
  </si>
  <si>
    <t>Motor takt (sec)</t>
  </si>
  <si>
    <t>What the shift pattern does at 100,000 robots a year</t>
  </si>
  <si>
    <t>Available h/yr</t>
  </si>
  <si>
    <t>Going from 10k to 100k a year makes the takt 10 times shorter. The motor lines feel it most, since each robot needs about 75 motors.</t>
  </si>
  <si>
    <t>Stations needed at each step</t>
  </si>
  <si>
    <t>Manual stations = work content ÷ (takt × balance efficiency), rounded up. Same idea for the motor cells.</t>
  </si>
  <si>
    <t>Manual assembly stations needed</t>
  </si>
  <si>
    <t>Automated motor cells needed</t>
  </si>
  <si>
    <t>Work content and cell cycle time are placeholders, so look at the scaling more than the exact counts: same design, about 10 times the stations.</t>
  </si>
  <si>
    <t>Clear-to-build: how many robots can we start today?</t>
  </si>
  <si>
    <t>The scarcest commodity sets the answer. The quantities are made up for the example.</t>
  </si>
  <si>
    <t>Commodity area (from 1X job posting)</t>
  </si>
  <si>
    <t>On-hand (kits)</t>
  </si>
  <si>
    <t>Kits per robot</t>
  </si>
  <si>
    <t>Robots buildable</t>
  </si>
  <si>
    <t>Constraint</t>
  </si>
  <si>
    <t>Motors, PCBs &amp; batteries</t>
  </si>
  <si>
    <t>Head, neck, spine &amp; torso assemblies</t>
  </si>
  <si>
    <t>Upper arm, forearm &amp; hand mechanisms</t>
  </si>
  <si>
    <t>Leg &amp; foot structural systems</t>
  </si>
  <si>
    <t>Final assembly &amp; test components</t>
  </si>
  <si>
    <t>Clear to build (robots)</t>
  </si>
  <si>
    <t>Weekly build plan (robots/week)</t>
  </si>
  <si>
    <t>Weeks of coverage</t>
  </si>
  <si>
    <t>Made-up quantities. I'd look at hand mechanisms first: at 2 kits per robot, they run out twice as fast.</t>
  </si>
  <si>
    <t>New hand revision: how much old stock is left?</t>
  </si>
  <si>
    <t>Old-revision parts still on hand after the cut-in week become excess. Try moving the cut-in week or the open POs.</t>
  </si>
  <si>
    <t>Old-revision parts on hand at week 1</t>
  </si>
  <si>
    <t>Parts per robot</t>
  </si>
  <si>
    <t>Builds per week</t>
  </si>
  <si>
    <t>Cut-in week of new revision (first week on new part)</t>
  </si>
  <si>
    <t>Unit cost of old part ($)</t>
  </si>
  <si>
    <t>Week</t>
  </si>
  <si>
    <t>Planned builds</t>
  </si>
  <si>
    <t>Old-part usage</t>
  </si>
  <si>
    <t>Old-part receipts (open POs)</t>
  </si>
  <si>
    <t>Ending old-part inventory</t>
  </si>
  <si>
    <t>Shortage (units)</t>
  </si>
  <si>
    <t>Shortage before cut-in (units short)</t>
  </si>
  <si>
    <t>E&amp;O units (old parts left after cut-in)</t>
  </si>
  <si>
    <t>E&amp;O exposure ($)</t>
  </si>
  <si>
    <t>The write-off comes from old-part POs still landing after the cut-in decision. The levers I'd look at: cut in earlier, or cancel or push POs while they're still inside the supplier's window.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</si>
</sst>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$#,##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9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sz val="9"/>
      <name val="Arial"/>
      <family val="2"/>
    </font>
    <font>
      <b/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  <font>
      <i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center" wrapText="1"/>
    </xf>
    <xf numFmtId="0" fontId="4" fillId="0" borderId="0" xfId="0" applyFont="1"/>
    <xf numFmtId="1" fontId="6" fillId="3" borderId="1" xfId="0" applyNumberFormat="1" applyFont="1" applyFill="1" applyBorder="1"/>
    <xf numFmtId="0" fontId="7" fillId="0" borderId="0" xfId="0" applyFont="1" applyAlignment="1">
      <alignment wrapText="1"/>
    </xf>
    <xf numFmtId="9" fontId="6" fillId="3" borderId="1" xfId="0" applyNumberFormat="1" applyFont="1" applyFill="1" applyBorder="1"/>
    <xf numFmtId="3" fontId="6" fillId="3" borderId="1" xfId="0" applyNumberFormat="1" applyFont="1" applyFill="1" applyBorder="1"/>
    <xf numFmtId="3" fontId="8" fillId="0" borderId="1" xfId="0" applyNumberFormat="1" applyFont="1" applyBorder="1"/>
    <xf numFmtId="0" fontId="7" fillId="0" borderId="0" xfId="0" applyFont="1"/>
    <xf numFmtId="3" fontId="6" fillId="0" borderId="1" xfId="0" applyNumberFormat="1" applyFont="1" applyBorder="1"/>
    <xf numFmtId="164" fontId="9" fillId="0" borderId="1" xfId="0" applyNumberFormat="1" applyFont="1" applyBorder="1"/>
    <xf numFmtId="3" fontId="9" fillId="0" borderId="1" xfId="0" applyNumberFormat="1" applyFont="1" applyBorder="1"/>
    <xf numFmtId="2" fontId="9" fillId="0" borderId="1" xfId="0" applyNumberFormat="1" applyFont="1" applyBorder="1"/>
    <xf numFmtId="1" fontId="6" fillId="0" borderId="1" xfId="0" applyNumberFormat="1" applyFont="1" applyBorder="1"/>
    <xf numFmtId="164" fontId="10" fillId="0" borderId="1" xfId="0" applyNumberFormat="1" applyFont="1" applyBorder="1"/>
    <xf numFmtId="0" fontId="11" fillId="0" borderId="0" xfId="0" applyFont="1"/>
    <xf numFmtId="3" fontId="10" fillId="0" borderId="1" xfId="0" applyNumberFormat="1" applyFont="1" applyBorder="1"/>
    <xf numFmtId="0" fontId="10" fillId="0" borderId="1" xfId="0" applyFont="1" applyBorder="1"/>
    <xf numFmtId="165" fontId="6" fillId="3" borderId="1" xfId="0" applyNumberFormat="1" applyFont="1" applyFill="1" applyBorder="1"/>
    <xf numFmtId="165" fontId="8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Manual assembly stations needed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'Station Sizing'!$C$4</c:f>
              <c:strCache>
                <c:ptCount val="1"/>
                <c:pt idx="0">
                  <c:v>Manual assembly stations needed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'Station Sizing'!$A$5:$A$8</c:f>
              <c:numCache>
                <c:formatCode>#,##0</c:formatCode>
                <c:ptCount val="4"/>
                <c:pt idx="0">
                  <c:v>10000</c:v>
                </c:pt>
                <c:pt idx="1">
                  <c:v>25000</c:v>
                </c:pt>
                <c:pt idx="2">
                  <c:v>50000</c:v>
                </c:pt>
                <c:pt idx="3">
                  <c:v>100000</c:v>
                </c:pt>
              </c:numCache>
            </c:numRef>
          </c:cat>
          <c:val>
            <c:numRef>
              <c:f>'Station Sizing'!$C$5:$C$8</c:f>
              <c:numCache>
                <c:formatCode>#,##0</c:formatCode>
                <c:ptCount val="4"/>
                <c:pt idx="0">
                  <c:v>45</c:v>
                </c:pt>
                <c:pt idx="1">
                  <c:v>111</c:v>
                </c:pt>
                <c:pt idx="2">
                  <c:v>221</c:v>
                </c:pt>
                <c:pt idx="3">
                  <c:v>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6D-5247-B442-ADA01AF00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Robots per year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Stations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showGridLines="0" tabSelected="1" workbookViewId="0"/>
  </sheetViews>
  <sheetFormatPr baseColWidth="10" defaultColWidth="8.83203125" defaultRowHeight="15" x14ac:dyDescent="0.2"/>
  <cols>
    <col min="1" max="1" width="44" customWidth="1"/>
    <col min="2" max="2" width="100" customWidth="1"/>
  </cols>
  <sheetData>
    <row r="1" spans="1:2" ht="18" x14ac:dyDescent="0.2">
      <c r="A1" s="1" t="s">
        <v>0</v>
      </c>
    </row>
    <row r="2" spans="1:2" x14ac:dyDescent="0.2">
      <c r="A2" s="2" t="s">
        <v>1</v>
      </c>
    </row>
    <row r="4" spans="1:2" ht="30" x14ac:dyDescent="0.2">
      <c r="A4" s="3" t="s">
        <v>2</v>
      </c>
      <c r="B4" s="4" t="s">
        <v>3</v>
      </c>
    </row>
    <row r="5" spans="1:2" ht="30" x14ac:dyDescent="0.2">
      <c r="A5" s="3" t="s">
        <v>4</v>
      </c>
      <c r="B5" s="4" t="s">
        <v>5</v>
      </c>
    </row>
    <row r="6" spans="1:2" x14ac:dyDescent="0.2">
      <c r="A6" s="3" t="s">
        <v>6</v>
      </c>
      <c r="B6" s="4" t="s">
        <v>7</v>
      </c>
    </row>
    <row r="7" spans="1:2" x14ac:dyDescent="0.2">
      <c r="A7" s="3" t="s">
        <v>8</v>
      </c>
      <c r="B7" s="4" t="s">
        <v>9</v>
      </c>
    </row>
    <row r="8" spans="1:2" x14ac:dyDescent="0.2">
      <c r="A8" s="3"/>
      <c r="B8" s="4"/>
    </row>
    <row r="9" spans="1:2" x14ac:dyDescent="0.2">
      <c r="A9" s="3" t="s">
        <v>10</v>
      </c>
      <c r="B9" s="4"/>
    </row>
    <row r="10" spans="1:2" ht="30" x14ac:dyDescent="0.2">
      <c r="A10" s="3" t="s">
        <v>11</v>
      </c>
      <c r="B10" s="4" t="s">
        <v>12</v>
      </c>
    </row>
    <row r="11" spans="1:2" x14ac:dyDescent="0.2">
      <c r="A11" s="3" t="s">
        <v>13</v>
      </c>
      <c r="B11" s="4" t="s">
        <v>14</v>
      </c>
    </row>
    <row r="12" spans="1:2" ht="30" x14ac:dyDescent="0.2">
      <c r="A12" s="3" t="s">
        <v>15</v>
      </c>
      <c r="B12" s="4" t="s">
        <v>16</v>
      </c>
    </row>
    <row r="13" spans="1:2" x14ac:dyDescent="0.2">
      <c r="A13" s="3" t="s">
        <v>17</v>
      </c>
      <c r="B13" s="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/>
  </sheetViews>
  <sheetFormatPr baseColWidth="10" defaultColWidth="8.83203125" defaultRowHeight="15" x14ac:dyDescent="0.2"/>
  <cols>
    <col min="1" max="1" width="46" customWidth="1"/>
    <col min="2" max="2" width="12" customWidth="1"/>
    <col min="3" max="3" width="13" customWidth="1"/>
    <col min="4" max="4" width="70" customWidth="1"/>
  </cols>
  <sheetData>
    <row r="1" spans="1:4" ht="18" x14ac:dyDescent="0.2">
      <c r="A1" s="1" t="s">
        <v>19</v>
      </c>
    </row>
    <row r="2" spans="1:4" x14ac:dyDescent="0.2">
      <c r="A2" s="2" t="s">
        <v>20</v>
      </c>
    </row>
    <row r="4" spans="1:4" x14ac:dyDescent="0.2">
      <c r="A4" s="5" t="s">
        <v>21</v>
      </c>
      <c r="B4" s="5" t="s">
        <v>22</v>
      </c>
      <c r="C4" s="5" t="s">
        <v>23</v>
      </c>
      <c r="D4" s="5" t="s">
        <v>24</v>
      </c>
    </row>
    <row r="5" spans="1:4" x14ac:dyDescent="0.2">
      <c r="A5" s="6" t="s">
        <v>25</v>
      </c>
      <c r="B5" s="7">
        <v>250</v>
      </c>
      <c r="C5" s="6" t="s">
        <v>26</v>
      </c>
      <c r="D5" s="8" t="s">
        <v>27</v>
      </c>
    </row>
    <row r="6" spans="1:4" x14ac:dyDescent="0.2">
      <c r="A6" s="6" t="s">
        <v>28</v>
      </c>
      <c r="B6" s="7">
        <v>2</v>
      </c>
      <c r="C6" s="6" t="s">
        <v>29</v>
      </c>
      <c r="D6" s="8" t="s">
        <v>30</v>
      </c>
    </row>
    <row r="7" spans="1:4" x14ac:dyDescent="0.2">
      <c r="A7" s="6" t="s">
        <v>31</v>
      </c>
      <c r="B7" s="7">
        <v>8</v>
      </c>
      <c r="C7" s="6" t="s">
        <v>32</v>
      </c>
      <c r="D7" s="8" t="s">
        <v>30</v>
      </c>
    </row>
    <row r="8" spans="1:4" ht="27" x14ac:dyDescent="0.2">
      <c r="A8" s="6" t="s">
        <v>33</v>
      </c>
      <c r="B8" s="9">
        <v>1</v>
      </c>
      <c r="C8" s="6" t="s">
        <v>34</v>
      </c>
      <c r="D8" s="8" t="s">
        <v>35</v>
      </c>
    </row>
    <row r="9" spans="1:4" x14ac:dyDescent="0.2">
      <c r="A9" s="6" t="s">
        <v>36</v>
      </c>
      <c r="B9" s="7">
        <v>75</v>
      </c>
      <c r="C9" s="6" t="s">
        <v>37</v>
      </c>
      <c r="D9" s="8" t="s">
        <v>38</v>
      </c>
    </row>
    <row r="10" spans="1:4" x14ac:dyDescent="0.2">
      <c r="A10" s="6" t="s">
        <v>39</v>
      </c>
      <c r="B10" s="10">
        <v>900</v>
      </c>
      <c r="C10" s="6" t="s">
        <v>40</v>
      </c>
      <c r="D10" s="8" t="s">
        <v>41</v>
      </c>
    </row>
    <row r="11" spans="1:4" x14ac:dyDescent="0.2">
      <c r="A11" s="6" t="s">
        <v>42</v>
      </c>
      <c r="B11" s="9">
        <v>0.85</v>
      </c>
      <c r="C11" s="6" t="s">
        <v>34</v>
      </c>
      <c r="D11" s="8" t="s">
        <v>43</v>
      </c>
    </row>
    <row r="12" spans="1:4" x14ac:dyDescent="0.2">
      <c r="A12" s="6" t="s">
        <v>44</v>
      </c>
      <c r="B12" s="7">
        <v>30</v>
      </c>
      <c r="C12" s="6" t="s">
        <v>45</v>
      </c>
      <c r="D12" s="8" t="s">
        <v>46</v>
      </c>
    </row>
    <row r="13" spans="1:4" x14ac:dyDescent="0.2">
      <c r="A13" s="3" t="s">
        <v>47</v>
      </c>
      <c r="B13" s="11">
        <f>B5*B6*B7*B8</f>
        <v>4000</v>
      </c>
      <c r="C13" s="6" t="s">
        <v>32</v>
      </c>
      <c r="D13" s="12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showGridLines="0" workbookViewId="0"/>
  </sheetViews>
  <sheetFormatPr baseColWidth="10" defaultColWidth="8.83203125" defaultRowHeight="15" x14ac:dyDescent="0.2"/>
  <cols>
    <col min="1" max="1" width="24" customWidth="1"/>
    <col min="2" max="2" width="16" customWidth="1"/>
    <col min="3" max="3" width="15" customWidth="1"/>
    <col min="4" max="4" width="16" customWidth="1"/>
    <col min="5" max="5" width="15" customWidth="1"/>
  </cols>
  <sheetData>
    <row r="1" spans="1:5" ht="18" x14ac:dyDescent="0.2">
      <c r="A1" s="1" t="s">
        <v>49</v>
      </c>
    </row>
    <row r="2" spans="1:5" x14ac:dyDescent="0.2">
      <c r="A2" s="2" t="s">
        <v>50</v>
      </c>
    </row>
    <row r="4" spans="1:5" ht="32" customHeight="1" x14ac:dyDescent="0.2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</row>
    <row r="5" spans="1:5" x14ac:dyDescent="0.2">
      <c r="A5" s="13">
        <v>10000</v>
      </c>
      <c r="B5" s="14">
        <f>Inputs!$B$13*60/A5</f>
        <v>24</v>
      </c>
      <c r="C5" s="14">
        <f>A5/Inputs!$B$13</f>
        <v>2.5</v>
      </c>
      <c r="D5" s="15">
        <f>A5*Inputs!$B$9</f>
        <v>750000</v>
      </c>
      <c r="E5" s="16">
        <f>Inputs!$B$13*3600/D5</f>
        <v>19.2</v>
      </c>
    </row>
    <row r="6" spans="1:5" x14ac:dyDescent="0.2">
      <c r="A6" s="13">
        <v>25000</v>
      </c>
      <c r="B6" s="14">
        <f>Inputs!$B$13*60/A6</f>
        <v>9.6</v>
      </c>
      <c r="C6" s="14">
        <f>A6/Inputs!$B$13</f>
        <v>6.25</v>
      </c>
      <c r="D6" s="15">
        <f>A6*Inputs!$B$9</f>
        <v>1875000</v>
      </c>
      <c r="E6" s="16">
        <f>Inputs!$B$13*3600/D6</f>
        <v>7.68</v>
      </c>
    </row>
    <row r="7" spans="1:5" x14ac:dyDescent="0.2">
      <c r="A7" s="13">
        <v>50000</v>
      </c>
      <c r="B7" s="14">
        <f>Inputs!$B$13*60/A7</f>
        <v>4.8</v>
      </c>
      <c r="C7" s="14">
        <f>A7/Inputs!$B$13</f>
        <v>12.5</v>
      </c>
      <c r="D7" s="15">
        <f>A7*Inputs!$B$9</f>
        <v>3750000</v>
      </c>
      <c r="E7" s="16">
        <f>Inputs!$B$13*3600/D7</f>
        <v>3.84</v>
      </c>
    </row>
    <row r="8" spans="1:5" x14ac:dyDescent="0.2">
      <c r="A8" s="13">
        <v>100000</v>
      </c>
      <c r="B8" s="14">
        <f>Inputs!$B$13*60/A8</f>
        <v>2.4</v>
      </c>
      <c r="C8" s="14">
        <f>A8/Inputs!$B$13</f>
        <v>25</v>
      </c>
      <c r="D8" s="15">
        <f>A8*Inputs!$B$9</f>
        <v>7500000</v>
      </c>
      <c r="E8" s="16">
        <f>Inputs!$B$13*3600/D8</f>
        <v>1.92</v>
      </c>
    </row>
    <row r="10" spans="1:5" x14ac:dyDescent="0.2">
      <c r="A10" s="3" t="s">
        <v>56</v>
      </c>
    </row>
    <row r="11" spans="1:5" ht="30" x14ac:dyDescent="0.2">
      <c r="A11" s="5" t="s">
        <v>28</v>
      </c>
      <c r="B11" s="5" t="s">
        <v>57</v>
      </c>
      <c r="C11" s="5" t="s">
        <v>52</v>
      </c>
      <c r="D11" s="5" t="s">
        <v>55</v>
      </c>
    </row>
    <row r="12" spans="1:5" x14ac:dyDescent="0.2">
      <c r="A12" s="17">
        <v>1</v>
      </c>
      <c r="B12" s="15">
        <f>Inputs!$B$5*A12*Inputs!$B$7*Inputs!$B$8</f>
        <v>2000</v>
      </c>
      <c r="C12" s="18">
        <f>B12*60/100000</f>
        <v>1.2</v>
      </c>
      <c r="D12" s="16">
        <f>B12*3600/(100000*Inputs!$B$9)</f>
        <v>0.96</v>
      </c>
    </row>
    <row r="13" spans="1:5" x14ac:dyDescent="0.2">
      <c r="A13" s="17">
        <v>2</v>
      </c>
      <c r="B13" s="15">
        <f>Inputs!$B$5*A13*Inputs!$B$7*Inputs!$B$8</f>
        <v>4000</v>
      </c>
      <c r="C13" s="18">
        <f>B13*60/100000</f>
        <v>2.4</v>
      </c>
      <c r="D13" s="16">
        <f>B13*3600/(100000*Inputs!$B$9)</f>
        <v>1.92</v>
      </c>
    </row>
    <row r="14" spans="1:5" x14ac:dyDescent="0.2">
      <c r="A14" s="17">
        <v>3</v>
      </c>
      <c r="B14" s="15">
        <f>Inputs!$B$5*A14*Inputs!$B$7*Inputs!$B$8</f>
        <v>6000</v>
      </c>
      <c r="C14" s="18">
        <f>B14*60/100000</f>
        <v>3.6</v>
      </c>
      <c r="D14" s="16">
        <f>B14*3600/(100000*Inputs!$B$9)</f>
        <v>2.88</v>
      </c>
    </row>
    <row r="16" spans="1:5" x14ac:dyDescent="0.2">
      <c r="A16" s="19" t="s">
        <v>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showGridLines="0" workbookViewId="0"/>
  </sheetViews>
  <sheetFormatPr baseColWidth="10" defaultColWidth="8.83203125" defaultRowHeight="15" x14ac:dyDescent="0.2"/>
  <cols>
    <col min="1" max="1" width="24" customWidth="1"/>
    <col min="2" max="2" width="16" customWidth="1"/>
    <col min="3" max="3" width="26" customWidth="1"/>
    <col min="4" max="4" width="16" customWidth="1"/>
    <col min="5" max="5" width="26" customWidth="1"/>
  </cols>
  <sheetData>
    <row r="1" spans="1:5" ht="18" x14ac:dyDescent="0.2">
      <c r="A1" s="1" t="s">
        <v>59</v>
      </c>
    </row>
    <row r="2" spans="1:5" x14ac:dyDescent="0.2">
      <c r="A2" s="2" t="s">
        <v>60</v>
      </c>
    </row>
    <row r="4" spans="1:5" ht="32" customHeight="1" x14ac:dyDescent="0.2">
      <c r="A4" s="5" t="s">
        <v>51</v>
      </c>
      <c r="B4" s="5" t="s">
        <v>52</v>
      </c>
      <c r="C4" s="5" t="s">
        <v>61</v>
      </c>
      <c r="D4" s="5" t="s">
        <v>55</v>
      </c>
      <c r="E4" s="5" t="s">
        <v>62</v>
      </c>
    </row>
    <row r="5" spans="1:5" x14ac:dyDescent="0.2">
      <c r="A5" s="15">
        <f>Takt!A5</f>
        <v>10000</v>
      </c>
      <c r="B5" s="14">
        <f>Takt!B5</f>
        <v>24</v>
      </c>
      <c r="C5" s="15">
        <f>ROUNDUP(Inputs!$B$10/(B5*Inputs!$B$11),0)</f>
        <v>45</v>
      </c>
      <c r="D5" s="16">
        <f>Takt!E5</f>
        <v>19.2</v>
      </c>
      <c r="E5" s="15">
        <f>ROUNDUP(Inputs!$B$12/D5,0)</f>
        <v>2</v>
      </c>
    </row>
    <row r="6" spans="1:5" x14ac:dyDescent="0.2">
      <c r="A6" s="15">
        <f>Takt!A6</f>
        <v>25000</v>
      </c>
      <c r="B6" s="14">
        <f>Takt!B6</f>
        <v>9.6</v>
      </c>
      <c r="C6" s="15">
        <f>ROUNDUP(Inputs!$B$10/(B6*Inputs!$B$11),0)</f>
        <v>111</v>
      </c>
      <c r="D6" s="16">
        <f>Takt!E6</f>
        <v>7.68</v>
      </c>
      <c r="E6" s="15">
        <f>ROUNDUP(Inputs!$B$12/D6,0)</f>
        <v>4</v>
      </c>
    </row>
    <row r="7" spans="1:5" x14ac:dyDescent="0.2">
      <c r="A7" s="15">
        <f>Takt!A7</f>
        <v>50000</v>
      </c>
      <c r="B7" s="14">
        <f>Takt!B7</f>
        <v>4.8</v>
      </c>
      <c r="C7" s="15">
        <f>ROUNDUP(Inputs!$B$10/(B7*Inputs!$B$11),0)</f>
        <v>221</v>
      </c>
      <c r="D7" s="16">
        <f>Takt!E7</f>
        <v>3.84</v>
      </c>
      <c r="E7" s="15">
        <f>ROUNDUP(Inputs!$B$12/D7,0)</f>
        <v>8</v>
      </c>
    </row>
    <row r="8" spans="1:5" x14ac:dyDescent="0.2">
      <c r="A8" s="15">
        <f>Takt!A8</f>
        <v>100000</v>
      </c>
      <c r="B8" s="14">
        <f>Takt!B8</f>
        <v>2.4</v>
      </c>
      <c r="C8" s="15">
        <f>ROUNDUP(Inputs!$B$10/(B8*Inputs!$B$11),0)</f>
        <v>442</v>
      </c>
      <c r="D8" s="16">
        <f>Takt!E8</f>
        <v>1.92</v>
      </c>
      <c r="E8" s="15">
        <f>ROUNDUP(Inputs!$B$12/D8,0)</f>
        <v>16</v>
      </c>
    </row>
    <row r="10" spans="1:5" x14ac:dyDescent="0.2">
      <c r="A10" s="19" t="s">
        <v>63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2" width="16" customWidth="1"/>
    <col min="3" max="3" width="15" customWidth="1"/>
    <col min="4" max="4" width="17" customWidth="1"/>
    <col min="5" max="5" width="16" customWidth="1"/>
  </cols>
  <sheetData>
    <row r="1" spans="1:5" ht="18" x14ac:dyDescent="0.2">
      <c r="A1" s="1" t="s">
        <v>64</v>
      </c>
    </row>
    <row r="2" spans="1:5" x14ac:dyDescent="0.2">
      <c r="A2" s="2" t="s">
        <v>65</v>
      </c>
    </row>
    <row r="4" spans="1:5" x14ac:dyDescent="0.2">
      <c r="A4" s="5" t="s">
        <v>66</v>
      </c>
      <c r="B4" s="5" t="s">
        <v>67</v>
      </c>
      <c r="C4" s="5" t="s">
        <v>68</v>
      </c>
      <c r="D4" s="5" t="s">
        <v>69</v>
      </c>
      <c r="E4" s="5" t="s">
        <v>70</v>
      </c>
    </row>
    <row r="5" spans="1:5" x14ac:dyDescent="0.2">
      <c r="A5" s="6" t="s">
        <v>71</v>
      </c>
      <c r="B5" s="10">
        <v>1800</v>
      </c>
      <c r="C5" s="17">
        <v>1</v>
      </c>
      <c r="D5" s="20">
        <f>INT(B5/C5)</f>
        <v>1800</v>
      </c>
      <c r="E5" s="21" t="str">
        <f>IF(D5=$B$11,"Constraint","")</f>
        <v/>
      </c>
    </row>
    <row r="6" spans="1:5" x14ac:dyDescent="0.2">
      <c r="A6" s="6" t="s">
        <v>72</v>
      </c>
      <c r="B6" s="10">
        <v>1300</v>
      </c>
      <c r="C6" s="17">
        <v>1</v>
      </c>
      <c r="D6" s="20">
        <f>INT(B6/C6)</f>
        <v>1300</v>
      </c>
      <c r="E6" s="21" t="str">
        <f>IF(D6=$B$11,"Constraint","")</f>
        <v/>
      </c>
    </row>
    <row r="7" spans="1:5" x14ac:dyDescent="0.2">
      <c r="A7" s="6" t="s">
        <v>73</v>
      </c>
      <c r="B7" s="10">
        <v>1900</v>
      </c>
      <c r="C7" s="17">
        <v>2</v>
      </c>
      <c r="D7" s="20">
        <f>INT(B7/C7)</f>
        <v>950</v>
      </c>
      <c r="E7" s="21" t="str">
        <f>IF(D7=$B$11,"Constraint","")</f>
        <v>Constraint</v>
      </c>
    </row>
    <row r="8" spans="1:5" x14ac:dyDescent="0.2">
      <c r="A8" s="6" t="s">
        <v>74</v>
      </c>
      <c r="B8" s="10">
        <v>2400</v>
      </c>
      <c r="C8" s="17">
        <v>2</v>
      </c>
      <c r="D8" s="20">
        <f>INT(B8/C8)</f>
        <v>1200</v>
      </c>
      <c r="E8" s="21" t="str">
        <f>IF(D8=$B$11,"Constraint","")</f>
        <v/>
      </c>
    </row>
    <row r="9" spans="1:5" x14ac:dyDescent="0.2">
      <c r="A9" s="6" t="s">
        <v>75</v>
      </c>
      <c r="B9" s="10">
        <v>1500</v>
      </c>
      <c r="C9" s="17">
        <v>1</v>
      </c>
      <c r="D9" s="20">
        <f>INT(B9/C9)</f>
        <v>1500</v>
      </c>
      <c r="E9" s="21" t="str">
        <f>IF(D9=$B$11,"Constraint","")</f>
        <v/>
      </c>
    </row>
    <row r="11" spans="1:5" x14ac:dyDescent="0.2">
      <c r="A11" s="3" t="s">
        <v>76</v>
      </c>
      <c r="B11" s="11">
        <f>MIN(D5:D9)</f>
        <v>950</v>
      </c>
    </row>
    <row r="12" spans="1:5" x14ac:dyDescent="0.2">
      <c r="A12" s="6" t="s">
        <v>77</v>
      </c>
      <c r="B12" s="15">
        <f>Takt!A5/Inputs!B5*5</f>
        <v>200</v>
      </c>
    </row>
    <row r="13" spans="1:5" x14ac:dyDescent="0.2">
      <c r="A13" s="6" t="s">
        <v>78</v>
      </c>
      <c r="B13" s="18">
        <f>B11/B12</f>
        <v>4.75</v>
      </c>
    </row>
    <row r="15" spans="1:5" x14ac:dyDescent="0.2">
      <c r="A15" s="19" t="s">
        <v>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8"/>
  <sheetViews>
    <sheetView showGridLines="0" workbookViewId="0"/>
  </sheetViews>
  <sheetFormatPr baseColWidth="10" defaultColWidth="8.83203125" defaultRowHeight="15" x14ac:dyDescent="0.2"/>
  <cols>
    <col min="1" max="1" width="50" customWidth="1"/>
    <col min="2" max="3" width="15" customWidth="1"/>
    <col min="4" max="4" width="26" customWidth="1"/>
    <col min="5" max="5" width="24" customWidth="1"/>
    <col min="6" max="6" width="16" customWidth="1"/>
  </cols>
  <sheetData>
    <row r="1" spans="1:6" ht="18" x14ac:dyDescent="0.2">
      <c r="A1" s="1" t="s">
        <v>80</v>
      </c>
    </row>
    <row r="2" spans="1:6" x14ac:dyDescent="0.2">
      <c r="A2" s="2" t="s">
        <v>81</v>
      </c>
    </row>
    <row r="4" spans="1:6" x14ac:dyDescent="0.2">
      <c r="A4" s="6" t="s">
        <v>82</v>
      </c>
      <c r="B4" s="10">
        <v>1200</v>
      </c>
    </row>
    <row r="5" spans="1:6" x14ac:dyDescent="0.2">
      <c r="A5" s="6" t="s">
        <v>83</v>
      </c>
      <c r="B5" s="17">
        <v>2</v>
      </c>
    </row>
    <row r="6" spans="1:6" x14ac:dyDescent="0.2">
      <c r="A6" s="6" t="s">
        <v>84</v>
      </c>
      <c r="B6" s="10">
        <v>200</v>
      </c>
    </row>
    <row r="7" spans="1:6" x14ac:dyDescent="0.2">
      <c r="A7" s="6" t="s">
        <v>85</v>
      </c>
      <c r="B7" s="7">
        <v>6</v>
      </c>
    </row>
    <row r="8" spans="1:6" x14ac:dyDescent="0.2">
      <c r="A8" s="6" t="s">
        <v>86</v>
      </c>
      <c r="B8" s="22">
        <v>450</v>
      </c>
    </row>
    <row r="10" spans="1:6" ht="32" customHeight="1" x14ac:dyDescent="0.2">
      <c r="A10" s="5" t="s">
        <v>87</v>
      </c>
      <c r="B10" s="5" t="s">
        <v>88</v>
      </c>
      <c r="C10" s="5" t="s">
        <v>89</v>
      </c>
      <c r="D10" s="5" t="s">
        <v>90</v>
      </c>
      <c r="E10" s="5" t="s">
        <v>91</v>
      </c>
      <c r="F10" s="5" t="s">
        <v>92</v>
      </c>
    </row>
    <row r="11" spans="1:6" x14ac:dyDescent="0.2">
      <c r="A11" s="17">
        <v>1</v>
      </c>
      <c r="B11" s="20">
        <f t="shared" ref="B11:B22" si="0">$B$6</f>
        <v>200</v>
      </c>
      <c r="C11" s="20">
        <f t="shared" ref="C11:C22" si="1">IF(A11&lt;$B$7,B11*$B$5,0)</f>
        <v>400</v>
      </c>
      <c r="D11" s="10">
        <v>0</v>
      </c>
      <c r="E11" s="20">
        <f>MAX(0,$B$4+D11-C11)</f>
        <v>800</v>
      </c>
      <c r="F11" s="20">
        <f>MAX(0,C11-($B$4+D11))</f>
        <v>0</v>
      </c>
    </row>
    <row r="12" spans="1:6" x14ac:dyDescent="0.2">
      <c r="A12" s="17">
        <v>2</v>
      </c>
      <c r="B12" s="20">
        <f t="shared" si="0"/>
        <v>200</v>
      </c>
      <c r="C12" s="20">
        <f t="shared" si="1"/>
        <v>400</v>
      </c>
      <c r="D12" s="10">
        <v>400</v>
      </c>
      <c r="E12" s="20">
        <f t="shared" ref="E12:E22" si="2">MAX(0,E11+D12-C12)</f>
        <v>800</v>
      </c>
      <c r="F12" s="20">
        <f t="shared" ref="F12:F22" si="3">MAX(0,C12-(E11+D12))</f>
        <v>0</v>
      </c>
    </row>
    <row r="13" spans="1:6" x14ac:dyDescent="0.2">
      <c r="A13" s="17">
        <v>3</v>
      </c>
      <c r="B13" s="20">
        <f t="shared" si="0"/>
        <v>200</v>
      </c>
      <c r="C13" s="20">
        <f t="shared" si="1"/>
        <v>400</v>
      </c>
      <c r="D13" s="10">
        <v>400</v>
      </c>
      <c r="E13" s="20">
        <f t="shared" si="2"/>
        <v>800</v>
      </c>
      <c r="F13" s="20">
        <f t="shared" si="3"/>
        <v>0</v>
      </c>
    </row>
    <row r="14" spans="1:6" x14ac:dyDescent="0.2">
      <c r="A14" s="17">
        <v>4</v>
      </c>
      <c r="B14" s="20">
        <f t="shared" si="0"/>
        <v>200</v>
      </c>
      <c r="C14" s="20">
        <f t="shared" si="1"/>
        <v>400</v>
      </c>
      <c r="D14" s="10">
        <v>400</v>
      </c>
      <c r="E14" s="20">
        <f t="shared" si="2"/>
        <v>800</v>
      </c>
      <c r="F14" s="20">
        <f t="shared" si="3"/>
        <v>0</v>
      </c>
    </row>
    <row r="15" spans="1:6" x14ac:dyDescent="0.2">
      <c r="A15" s="17">
        <v>5</v>
      </c>
      <c r="B15" s="20">
        <f t="shared" si="0"/>
        <v>200</v>
      </c>
      <c r="C15" s="20">
        <f t="shared" si="1"/>
        <v>400</v>
      </c>
      <c r="D15" s="10">
        <v>400</v>
      </c>
      <c r="E15" s="20">
        <f t="shared" si="2"/>
        <v>800</v>
      </c>
      <c r="F15" s="20">
        <f t="shared" si="3"/>
        <v>0</v>
      </c>
    </row>
    <row r="16" spans="1:6" x14ac:dyDescent="0.2">
      <c r="A16" s="17">
        <v>6</v>
      </c>
      <c r="B16" s="20">
        <f t="shared" si="0"/>
        <v>200</v>
      </c>
      <c r="C16" s="20">
        <f t="shared" si="1"/>
        <v>0</v>
      </c>
      <c r="D16" s="10">
        <v>400</v>
      </c>
      <c r="E16" s="20">
        <f t="shared" si="2"/>
        <v>1200</v>
      </c>
      <c r="F16" s="20">
        <f t="shared" si="3"/>
        <v>0</v>
      </c>
    </row>
    <row r="17" spans="1:6" x14ac:dyDescent="0.2">
      <c r="A17" s="17">
        <v>7</v>
      </c>
      <c r="B17" s="20">
        <f t="shared" si="0"/>
        <v>200</v>
      </c>
      <c r="C17" s="20">
        <f t="shared" si="1"/>
        <v>0</v>
      </c>
      <c r="D17" s="10">
        <v>0</v>
      </c>
      <c r="E17" s="20">
        <f t="shared" si="2"/>
        <v>1200</v>
      </c>
      <c r="F17" s="20">
        <f t="shared" si="3"/>
        <v>0</v>
      </c>
    </row>
    <row r="18" spans="1:6" x14ac:dyDescent="0.2">
      <c r="A18" s="17">
        <v>8</v>
      </c>
      <c r="B18" s="20">
        <f t="shared" si="0"/>
        <v>200</v>
      </c>
      <c r="C18" s="20">
        <f t="shared" si="1"/>
        <v>0</v>
      </c>
      <c r="D18" s="10">
        <v>0</v>
      </c>
      <c r="E18" s="20">
        <f t="shared" si="2"/>
        <v>1200</v>
      </c>
      <c r="F18" s="20">
        <f t="shared" si="3"/>
        <v>0</v>
      </c>
    </row>
    <row r="19" spans="1:6" x14ac:dyDescent="0.2">
      <c r="A19" s="17">
        <v>9</v>
      </c>
      <c r="B19" s="20">
        <f t="shared" si="0"/>
        <v>200</v>
      </c>
      <c r="C19" s="20">
        <f t="shared" si="1"/>
        <v>0</v>
      </c>
      <c r="D19" s="10">
        <v>0</v>
      </c>
      <c r="E19" s="20">
        <f t="shared" si="2"/>
        <v>1200</v>
      </c>
      <c r="F19" s="20">
        <f t="shared" si="3"/>
        <v>0</v>
      </c>
    </row>
    <row r="20" spans="1:6" x14ac:dyDescent="0.2">
      <c r="A20" s="17">
        <v>10</v>
      </c>
      <c r="B20" s="20">
        <f t="shared" si="0"/>
        <v>200</v>
      </c>
      <c r="C20" s="20">
        <f t="shared" si="1"/>
        <v>0</v>
      </c>
      <c r="D20" s="10">
        <v>0</v>
      </c>
      <c r="E20" s="20">
        <f t="shared" si="2"/>
        <v>1200</v>
      </c>
      <c r="F20" s="20">
        <f t="shared" si="3"/>
        <v>0</v>
      </c>
    </row>
    <row r="21" spans="1:6" x14ac:dyDescent="0.2">
      <c r="A21" s="17">
        <v>11</v>
      </c>
      <c r="B21" s="20">
        <f t="shared" si="0"/>
        <v>200</v>
      </c>
      <c r="C21" s="20">
        <f t="shared" si="1"/>
        <v>0</v>
      </c>
      <c r="D21" s="10">
        <v>0</v>
      </c>
      <c r="E21" s="20">
        <f t="shared" si="2"/>
        <v>1200</v>
      </c>
      <c r="F21" s="20">
        <f t="shared" si="3"/>
        <v>0</v>
      </c>
    </row>
    <row r="22" spans="1:6" x14ac:dyDescent="0.2">
      <c r="A22" s="17">
        <v>12</v>
      </c>
      <c r="B22" s="20">
        <f t="shared" si="0"/>
        <v>200</v>
      </c>
      <c r="C22" s="20">
        <f t="shared" si="1"/>
        <v>0</v>
      </c>
      <c r="D22" s="10">
        <v>0</v>
      </c>
      <c r="E22" s="20">
        <f t="shared" si="2"/>
        <v>1200</v>
      </c>
      <c r="F22" s="20">
        <f t="shared" si="3"/>
        <v>0</v>
      </c>
    </row>
    <row r="24" spans="1:6" x14ac:dyDescent="0.2">
      <c r="A24" s="3" t="s">
        <v>93</v>
      </c>
      <c r="B24" s="20">
        <f>SUM(F11:F22)</f>
        <v>0</v>
      </c>
    </row>
    <row r="25" spans="1:6" x14ac:dyDescent="0.2">
      <c r="A25" s="3" t="s">
        <v>94</v>
      </c>
      <c r="B25" s="11">
        <f>INDEX(E11:E22,12)</f>
        <v>1200</v>
      </c>
    </row>
    <row r="26" spans="1:6" x14ac:dyDescent="0.2">
      <c r="A26" s="3" t="s">
        <v>95</v>
      </c>
      <c r="B26" s="23">
        <f>B25*B8</f>
        <v>540000</v>
      </c>
    </row>
    <row r="28" spans="1:6" x14ac:dyDescent="0.2">
      <c r="A28" s="19" t="s">
        <v>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Takt</vt:lpstr>
      <vt:lpstr>Station Sizing</vt:lpstr>
      <vt:lpstr>Clear-to-Build</vt:lpstr>
      <vt:lpstr>BOM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Tristan Massicotte</cp:lastModifiedBy>
  <dcterms:created xsi:type="dcterms:W3CDTF">2026-10-30T20:54:44Z</dcterms:created>
  <dcterms:modified xsi:type="dcterms:W3CDTF">2026-10-30T20:54:58Z</dcterms:modified>
</cp:coreProperties>
</file>