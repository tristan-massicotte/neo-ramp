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Takt" sheetId="3" state="visible" r:id="rId5"/>
    <sheet name="Station Sizing" sheetId="4" state="visible" r:id="rId6"/>
    <sheet name="Clear-to-Build" sheetId="5" state="visible" r:id="rId7"/>
    <sheet name="BOM Chang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<sst xmlns="http://schemas.openxmlformats.org/spreadsheetml/2006/main" count="117" uniqueCount="107">
  <si>
    <t xml:space="preserve">NEO Factory Ramp Model — 10k to 100k robots/yr</t>
  </si>
  <si>
    <t xml:space="preserve">Prepared by Tristan Massicotte (U of T Industrial Engineering) · October 2026 · ILLUSTRATIVE — built only from public information</t>
  </si>
  <si>
    <t xml:space="preserve">What this is</t>
  </si>
  <si>
    <t xml:space="preserve">A small planning model showing what the NEO ramp means on the floor: takt time, motor-line pace, station count, clear-to-build and the excess/obsolete (E&amp;O) risk of a mid-ramp BOM change.</t>
  </si>
  <si>
    <t xml:space="preserve">What this is NOT</t>
  </si>
  <si>
    <t xml:space="preserve">It contains no 1X internal data. Every yellow cell is an assumption or placeholder. Replace them with real numbers and every result recalculates.</t>
  </si>
  <si>
    <t xml:space="preserve">Legend</t>
  </si>
  <si>
    <t xml:space="preserve">Blue text = input you can change · Yellow fill = key assumption to replace with real data · Black = formula · Green = formula pulling from another tab</t>
  </si>
  <si>
    <t xml:space="preserve">Tabs</t>
  </si>
  <si>
    <t xml:space="preserve">Inputs → Takt → Station Sizing → Clear-to-Build → BOM Change</t>
  </si>
  <si>
    <t xml:space="preserve">Public sources</t>
  </si>
  <si>
    <t xml:space="preserve">Capacity 10k/yr, target 100k+/yr by end 2027</t>
  </si>
  <si>
    <t xml:space="preserve">1X, 'NEO Factory | Building Your NEO', 1x.tech/discover/neo-factory (Apr 30 2026); GlobeNewswire release (Apr 30 2026)</t>
  </si>
  <si>
    <t xml:space="preserve">Single-piece flow, pre-kitted stations, automated motor lines, 17,000 motors built</t>
  </si>
  <si>
    <t xml:space="preserve">1x.tech/discover/neo-factory (Apr 30 2026)</t>
  </si>
  <si>
    <t xml:space="preserve">75 degrees of freedom per NEO (22 per hand)</t>
  </si>
  <si>
    <t xml:space="preserve">humanoid.guide NEO spec sheet (launch spec, Oct 2025). New 25-DoF hands announced Jul 9 2026 may change the count.</t>
  </si>
  <si>
    <t xml:space="preserve">10,000 hands targeted in 2026</t>
  </si>
  <si>
    <t xml:space="preserve">1X 'NEO's Hands' announcement (Jul 9 2026), as reported by humanoid.guide and Noqta</t>
  </si>
  <si>
    <t xml:space="preserve">Five commodity areas</t>
  </si>
  <si>
    <t xml:space="preserve">1X job posting 'Supply Chain Planner – Advanced Robotics Commodities' (1x.tech/open-positions)</t>
  </si>
  <si>
    <t xml:space="preserve">Inputs &amp; assumptions</t>
  </si>
  <si>
    <t xml:space="preserve">Change blue cells. Yellow = assumption that should be replaced with real 1X data.</t>
  </si>
  <si>
    <t xml:space="preserve">Parameter</t>
  </si>
  <si>
    <t xml:space="preserve">Value</t>
  </si>
  <si>
    <t xml:space="preserve">Unit</t>
  </si>
  <si>
    <t xml:space="preserve">Basis / source</t>
  </si>
  <si>
    <t xml:space="preserve">Working days per year</t>
  </si>
  <si>
    <t xml:space="preserve">days</t>
  </si>
  <si>
    <t xml:space="preserve">Assumption: 5-day weeks, 50 weeks</t>
  </si>
  <si>
    <t xml:space="preserve">Shifts per day</t>
  </si>
  <si>
    <t xml:space="preserve">shifts</t>
  </si>
  <si>
    <t xml:space="preserve">Assumption</t>
  </si>
  <si>
    <t xml:space="preserve">Hours per shift</t>
  </si>
  <si>
    <t xml:space="preserve">h</t>
  </si>
  <si>
    <t xml:space="preserve">Availability (share of shift time the line runs)</t>
  </si>
  <si>
    <t xml:space="preserve">%</t>
  </si>
  <si>
    <t xml:space="preserve">Assumption: 100% gives the theoretical takt. Set ~0.85–0.90 for breaks, changeovers, downtime</t>
  </si>
  <si>
    <t xml:space="preserve">Actuated joints (≈ motors) per robot</t>
  </si>
  <si>
    <t xml:space="preserve">motors</t>
  </si>
  <si>
    <t xml:space="preserve">Public spec: 75 DoF (humanoid.guide). Assumes 1 motor per actuated joint</t>
  </si>
  <si>
    <t xml:space="preserve">Hands per robot</t>
  </si>
  <si>
    <t xml:space="preserve">hands</t>
  </si>
  <si>
    <t xml:space="preserve">Physical</t>
  </si>
  <si>
    <t xml:space="preserve">Hands targeted for 2026 (public)</t>
  </si>
  <si>
    <t xml:space="preserve">1X hand announcement, Jul 9 2026</t>
  </si>
  <si>
    <t xml:space="preserve">Final-assembly work content per robot</t>
  </si>
  <si>
    <t xml:space="preserve">labour-min</t>
  </si>
  <si>
    <t xml:space="preserve">PLACEHOLDER — no public data. Replace with real routing time</t>
  </si>
  <si>
    <t xml:space="preserve">Line balance efficiency</t>
  </si>
  <si>
    <t xml:space="preserve">Assumption: typical manual line</t>
  </si>
  <si>
    <t xml:space="preserve">Automated motor-cell cycle time</t>
  </si>
  <si>
    <t xml:space="preserve">sec / motor</t>
  </si>
  <si>
    <t xml:space="preserve">PLACEHOLDER — no public data</t>
  </si>
  <si>
    <t xml:space="preserve">Available hours per year</t>
  </si>
  <si>
    <t xml:space="preserve">Days × shifts × hours × availability</t>
  </si>
  <si>
    <t xml:space="preserve">Takt time at each ramp step</t>
  </si>
  <si>
    <t xml:space="preserve">Takt = available time ÷ demand. The pace one station must hit for the line to meet volume.</t>
  </si>
  <si>
    <t xml:space="preserve">Annual volume (robots/yr)</t>
  </si>
  <si>
    <t xml:space="preserve">Robot takt (min)</t>
  </si>
  <si>
    <t xml:space="preserve">Robots per hour</t>
  </si>
  <si>
    <t xml:space="preserve">Motors per year</t>
  </si>
  <si>
    <t xml:space="preserve">Motor takt (sec)</t>
  </si>
  <si>
    <t xml:space="preserve">Hands per year needed</t>
  </si>
  <si>
    <t xml:space="preserve">Hands needed ÷ 2026 hand target</t>
  </si>
  <si>
    <t xml:space="preserve">Shift-pattern sensitivity at 100,000 robots/yr (robot takt, min)</t>
  </si>
  <si>
    <t xml:space="preserve">Available h/yr</t>
  </si>
  <si>
    <t xml:space="preserve">Reading: going from 10k to 100k/yr cuts robot takt 10×. The motor line feels it most: ~75 motors per robot means a motor every ~2 s at 100k on two shifts.</t>
  </si>
  <si>
    <t xml:space="preserve">Hands check: if the 10,000-hand 2026 target counts single hands, it covers ~5,000 robots (2 hands each). Worth confirming how it is counted.</t>
  </si>
  <si>
    <t xml:space="preserve">What the takt means for the floor</t>
  </si>
  <si>
    <t xml:space="preserve">Manual stations = work content ÷ (takt × balance efficiency). Motor cells = cell cycle ÷ motor takt. Both rounded up.</t>
  </si>
  <si>
    <t xml:space="preserve">Manual assembly stations needed</t>
  </si>
  <si>
    <t xml:space="preserve">Automated motor cells needed</t>
  </si>
  <si>
    <t xml:space="preserve">Work content and motor-cell cycle are placeholders (yellow on Inputs). The point is the scaling: ~10× the stations or cells for the same design, which is why the ramp is an automation and line-design problem, not just more people.</t>
  </si>
  <si>
    <t xml:space="preserve">Clear-to-build: how many robots can we start today?</t>
  </si>
  <si>
    <t xml:space="preserve">Buildable = MIN over commodities of FLOOR(on-hand kits ÷ kits per robot). Example quantities only.</t>
  </si>
  <si>
    <t xml:space="preserve">Commodity area (from 1X job posting)</t>
  </si>
  <si>
    <t xml:space="preserve">On-hand (kits)</t>
  </si>
  <si>
    <t xml:space="preserve">Kits per robot</t>
  </si>
  <si>
    <t xml:space="preserve">Robots buildable</t>
  </si>
  <si>
    <t xml:space="preserve">Is constraint?</t>
  </si>
  <si>
    <t xml:space="preserve">Motors, PCBs &amp; batteries</t>
  </si>
  <si>
    <t xml:space="preserve">Head, neck, spine &amp; torso assemblies</t>
  </si>
  <si>
    <t xml:space="preserve">Upper arm, forearm &amp; hand mechanisms</t>
  </si>
  <si>
    <t xml:space="preserve">Leg &amp; foot structural systems</t>
  </si>
  <si>
    <t xml:space="preserve">Final assembly &amp; test components</t>
  </si>
  <si>
    <t xml:space="preserve">Clear to build (robots)</t>
  </si>
  <si>
    <t xml:space="preserve">Weekly build plan (robots/week)</t>
  </si>
  <si>
    <t xml:space="preserve">Weeks of coverage</t>
  </si>
  <si>
    <t xml:space="preserve">Example values only. A 'hand mechanisms' line at 2 kits per robot is often where the constraint hides: the per-robot quantity doubles the pull on supply.</t>
  </si>
  <si>
    <t xml:space="preserve">Mid-ramp BOM change: excess &amp; obsolete (E&amp;O) exposure</t>
  </si>
  <si>
    <t xml:space="preserve">Example: an old-revision hand module is replaced at a cut-in week. Stock left at cut-in becomes E&amp;O. Change the cut-in week and receipts to see the trade-off.</t>
  </si>
  <si>
    <t xml:space="preserve">Old-revision parts on hand at week 1</t>
  </si>
  <si>
    <t xml:space="preserve">Parts per robot</t>
  </si>
  <si>
    <t xml:space="preserve">Builds per week</t>
  </si>
  <si>
    <t xml:space="preserve">Cut-in week of new revision (first week on new part)</t>
  </si>
  <si>
    <t xml:space="preserve">Unit cost of old part ($)</t>
  </si>
  <si>
    <t xml:space="preserve">Week</t>
  </si>
  <si>
    <t xml:space="preserve">Planned builds</t>
  </si>
  <si>
    <t xml:space="preserve">Old-part usage</t>
  </si>
  <si>
    <t xml:space="preserve">Old-part receipts (open POs)</t>
  </si>
  <si>
    <t xml:space="preserve">Ending old-part inventory</t>
  </si>
  <si>
    <t xml:space="preserve">Shortage (units)</t>
  </si>
  <si>
    <t xml:space="preserve">Shortage before cut-in (units short)</t>
  </si>
  <si>
    <t xml:space="preserve">E&amp;O units (old parts left after cut-in)</t>
  </si>
  <si>
    <t xml:space="preserve">E&amp;O exposure ($)</t>
  </si>
  <si>
    <t xml:space="preserve">Reading: receipts already on order after the cut-in decision are what turn a design improvement into a write-off. Pulling cut-in earlier, or cancelling/pushing POs inside the supplier's window, is the planning lever.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</si>
</sst>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%"/>
    <numFmt numFmtId="167" formatCode="#,##0"/>
    <numFmt numFmtId="168" formatCode="0.0"/>
    <numFmt numFmtId="169" formatCode="0.00"/>
    <numFmt numFmtId="170" formatCode="0.0\x"/>
    <numFmt numFmtId="171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4" t="s">
        <v>3</v>
      </c>
    </row>
    <row r="5" customFormat="false" ht="26.85" hidden="false" customHeight="false" outlineLevel="0" collapsed="false">
      <c r="A5" s="3" t="s">
        <v>4</v>
      </c>
      <c r="B5" s="4" t="s">
        <v>5</v>
      </c>
    </row>
    <row r="6" customFormat="false" ht="26.8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10</v>
      </c>
      <c r="B9" s="4"/>
    </row>
    <row r="10" customFormat="false" ht="26.8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26.8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25</v>
      </c>
      <c r="D4" s="5" t="s">
        <v>26</v>
      </c>
    </row>
    <row r="5" customFormat="false" ht="15" hidden="false" customHeight="false" outlineLevel="0" collapsed="false">
      <c r="A5" s="6" t="s">
        <v>27</v>
      </c>
      <c r="B5" s="7" t="n">
        <v>250</v>
      </c>
      <c r="C5" s="6" t="s">
        <v>28</v>
      </c>
      <c r="D5" s="8" t="s">
        <v>29</v>
      </c>
    </row>
    <row r="6" customFormat="false" ht="15" hidden="false" customHeight="false" outlineLevel="0" collapsed="false">
      <c r="A6" s="6" t="s">
        <v>30</v>
      </c>
      <c r="B6" s="7" t="n">
        <v>2</v>
      </c>
      <c r="C6" s="6" t="s">
        <v>31</v>
      </c>
      <c r="D6" s="8" t="s">
        <v>32</v>
      </c>
    </row>
    <row r="7" customFormat="false" ht="15" hidden="false" customHeight="false" outlineLevel="0" collapsed="false">
      <c r="A7" s="6" t="s">
        <v>33</v>
      </c>
      <c r="B7" s="7" t="n">
        <v>8</v>
      </c>
      <c r="C7" s="6" t="s">
        <v>34</v>
      </c>
      <c r="D7" s="8" t="s">
        <v>32</v>
      </c>
    </row>
    <row r="8" customFormat="false" ht="22.35" hidden="false" customHeight="false" outlineLevel="0" collapsed="false">
      <c r="A8" s="6" t="s">
        <v>35</v>
      </c>
      <c r="B8" s="9" t="n">
        <v>1</v>
      </c>
      <c r="C8" s="6" t="s">
        <v>36</v>
      </c>
      <c r="D8" s="8" t="s">
        <v>37</v>
      </c>
    </row>
    <row r="9" customFormat="false" ht="15" hidden="false" customHeight="false" outlineLevel="0" collapsed="false">
      <c r="A9" s="6" t="s">
        <v>38</v>
      </c>
      <c r="B9" s="7" t="n">
        <v>75</v>
      </c>
      <c r="C9" s="6" t="s">
        <v>39</v>
      </c>
      <c r="D9" s="8" t="s">
        <v>40</v>
      </c>
    </row>
    <row r="10" customFormat="false" ht="15" hidden="false" customHeight="false" outlineLevel="0" collapsed="false">
      <c r="A10" s="6" t="s">
        <v>41</v>
      </c>
      <c r="B10" s="10" t="n">
        <v>2</v>
      </c>
      <c r="C10" s="6" t="s">
        <v>42</v>
      </c>
      <c r="D10" s="8" t="s">
        <v>43</v>
      </c>
    </row>
    <row r="11" customFormat="false" ht="15" hidden="false" customHeight="false" outlineLevel="0" collapsed="false">
      <c r="A11" s="6" t="s">
        <v>44</v>
      </c>
      <c r="B11" s="11" t="n">
        <v>10000</v>
      </c>
      <c r="C11" s="6" t="s">
        <v>42</v>
      </c>
      <c r="D11" s="8" t="s">
        <v>45</v>
      </c>
    </row>
    <row r="12" customFormat="false" ht="15" hidden="false" customHeight="false" outlineLevel="0" collapsed="false">
      <c r="A12" s="6" t="s">
        <v>46</v>
      </c>
      <c r="B12" s="12" t="n">
        <v>900</v>
      </c>
      <c r="C12" s="6" t="s">
        <v>47</v>
      </c>
      <c r="D12" s="8" t="s">
        <v>48</v>
      </c>
    </row>
    <row r="13" customFormat="false" ht="15" hidden="false" customHeight="false" outlineLevel="0" collapsed="false">
      <c r="A13" s="6" t="s">
        <v>49</v>
      </c>
      <c r="B13" s="9" t="n">
        <v>0.85</v>
      </c>
      <c r="C13" s="6" t="s">
        <v>36</v>
      </c>
      <c r="D13" s="8" t="s">
        <v>50</v>
      </c>
    </row>
    <row r="14" customFormat="false" ht="15" hidden="false" customHeight="false" outlineLevel="0" collapsed="false">
      <c r="A14" s="6" t="s">
        <v>51</v>
      </c>
      <c r="B14" s="7" t="n">
        <v>30</v>
      </c>
      <c r="C14" s="6" t="s">
        <v>52</v>
      </c>
      <c r="D14" s="8" t="s">
        <v>53</v>
      </c>
    </row>
    <row r="15" customFormat="false" ht="15" hidden="false" customHeight="false" outlineLevel="0" collapsed="false">
      <c r="A15" s="3" t="s">
        <v>54</v>
      </c>
      <c r="B15" s="13" t="n">
        <f aca="false">B5*B6*B7*B8</f>
        <v>4000</v>
      </c>
      <c r="C15" s="6" t="s">
        <v>34</v>
      </c>
      <c r="D15" s="1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31.5" hidden="false" customHeight="true" outlineLevel="0" collapsed="false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</row>
    <row r="5" customFormat="false" ht="15" hidden="false" customHeight="false" outlineLevel="0" collapsed="false">
      <c r="A5" s="11" t="n">
        <v>10000</v>
      </c>
      <c r="B5" s="15" t="n">
        <f aca="false">Inputs!$B$15*60/A5</f>
        <v>24</v>
      </c>
      <c r="C5" s="15" t="n">
        <f aca="false">A5/Inputs!$B$15</f>
        <v>2.5</v>
      </c>
      <c r="D5" s="16" t="n">
        <f aca="false">A5*Inputs!$B$9</f>
        <v>750000</v>
      </c>
      <c r="E5" s="17" t="n">
        <f aca="false">Inputs!$B$15*3600/D5</f>
        <v>19.2</v>
      </c>
      <c r="F5" s="16" t="n">
        <f aca="false">A5*Inputs!$B$10</f>
        <v>20000</v>
      </c>
      <c r="G5" s="18" t="n">
        <f aca="false">F5/Inputs!$B$11</f>
        <v>2</v>
      </c>
    </row>
    <row r="6" customFormat="false" ht="15" hidden="false" customHeight="false" outlineLevel="0" collapsed="false">
      <c r="A6" s="11" t="n">
        <v>25000</v>
      </c>
      <c r="B6" s="15" t="n">
        <f aca="false">Inputs!$B$15*60/A6</f>
        <v>9.6</v>
      </c>
      <c r="C6" s="15" t="n">
        <f aca="false">A6/Inputs!$B$15</f>
        <v>6.25</v>
      </c>
      <c r="D6" s="16" t="n">
        <f aca="false">A6*Inputs!$B$9</f>
        <v>1875000</v>
      </c>
      <c r="E6" s="17" t="n">
        <f aca="false">Inputs!$B$15*3600/D6</f>
        <v>7.68</v>
      </c>
      <c r="F6" s="16" t="n">
        <f aca="false">A6*Inputs!$B$10</f>
        <v>50000</v>
      </c>
      <c r="G6" s="18" t="n">
        <f aca="false">F6/Inputs!$B$11</f>
        <v>5</v>
      </c>
    </row>
    <row r="7" customFormat="false" ht="15" hidden="false" customHeight="false" outlineLevel="0" collapsed="false">
      <c r="A7" s="11" t="n">
        <v>50000</v>
      </c>
      <c r="B7" s="15" t="n">
        <f aca="false">Inputs!$B$15*60/A7</f>
        <v>4.8</v>
      </c>
      <c r="C7" s="15" t="n">
        <f aca="false">A7/Inputs!$B$15</f>
        <v>12.5</v>
      </c>
      <c r="D7" s="16" t="n">
        <f aca="false">A7*Inputs!$B$9</f>
        <v>3750000</v>
      </c>
      <c r="E7" s="17" t="n">
        <f aca="false">Inputs!$B$15*3600/D7</f>
        <v>3.84</v>
      </c>
      <c r="F7" s="16" t="n">
        <f aca="false">A7*Inputs!$B$10</f>
        <v>100000</v>
      </c>
      <c r="G7" s="18" t="n">
        <f aca="false">F7/Inputs!$B$11</f>
        <v>10</v>
      </c>
    </row>
    <row r="8" customFormat="false" ht="15" hidden="false" customHeight="false" outlineLevel="0" collapsed="false">
      <c r="A8" s="11" t="n">
        <v>100000</v>
      </c>
      <c r="B8" s="15" t="n">
        <f aca="false">Inputs!$B$15*60/A8</f>
        <v>2.4</v>
      </c>
      <c r="C8" s="15" t="n">
        <f aca="false">A8/Inputs!$B$15</f>
        <v>25</v>
      </c>
      <c r="D8" s="16" t="n">
        <f aca="false">A8*Inputs!$B$9</f>
        <v>7500000</v>
      </c>
      <c r="E8" s="17" t="n">
        <f aca="false">Inputs!$B$15*3600/D8</f>
        <v>1.92</v>
      </c>
      <c r="F8" s="16" t="n">
        <f aca="false">A8*Inputs!$B$10</f>
        <v>200000</v>
      </c>
      <c r="G8" s="18" t="n">
        <f aca="false">F8/Inputs!$B$11</f>
        <v>20</v>
      </c>
    </row>
    <row r="10" customFormat="false" ht="15" hidden="false" customHeight="false" outlineLevel="0" collapsed="false">
      <c r="A10" s="3" t="s">
        <v>65</v>
      </c>
    </row>
    <row r="11" customFormat="false" ht="26.85" hidden="false" customHeight="false" outlineLevel="0" collapsed="false">
      <c r="A11" s="5" t="s">
        <v>30</v>
      </c>
      <c r="B11" s="5" t="s">
        <v>66</v>
      </c>
      <c r="C11" s="5" t="s">
        <v>59</v>
      </c>
      <c r="D11" s="5" t="s">
        <v>62</v>
      </c>
    </row>
    <row r="12" customFormat="false" ht="15" hidden="false" customHeight="false" outlineLevel="0" collapsed="false">
      <c r="A12" s="10" t="n">
        <v>1</v>
      </c>
      <c r="B12" s="16" t="n">
        <f aca="false">Inputs!$B$5*A12*Inputs!$B$7*Inputs!$B$8</f>
        <v>2000</v>
      </c>
      <c r="C12" s="19" t="n">
        <f aca="false">B12*60/100000</f>
        <v>1.2</v>
      </c>
      <c r="D12" s="17" t="n">
        <f aca="false">B12*3600/(100000*Inputs!$B$9)</f>
        <v>0.96</v>
      </c>
    </row>
    <row r="13" customFormat="false" ht="15" hidden="false" customHeight="false" outlineLevel="0" collapsed="false">
      <c r="A13" s="10" t="n">
        <v>2</v>
      </c>
      <c r="B13" s="16" t="n">
        <f aca="false">Inputs!$B$5*A13*Inputs!$B$7*Inputs!$B$8</f>
        <v>4000</v>
      </c>
      <c r="C13" s="19" t="n">
        <f aca="false">B13*60/100000</f>
        <v>2.4</v>
      </c>
      <c r="D13" s="17" t="n">
        <f aca="false">B13*3600/(100000*Inputs!$B$9)</f>
        <v>1.92</v>
      </c>
    </row>
    <row r="14" customFormat="false" ht="15" hidden="false" customHeight="false" outlineLevel="0" collapsed="false">
      <c r="A14" s="10" t="n">
        <v>3</v>
      </c>
      <c r="B14" s="16" t="n">
        <f aca="false">Inputs!$B$5*A14*Inputs!$B$7*Inputs!$B$8</f>
        <v>6000</v>
      </c>
      <c r="C14" s="19" t="n">
        <f aca="false">B14*60/100000</f>
        <v>3.6</v>
      </c>
      <c r="D14" s="17" t="n">
        <f aca="false">B14*3600/(100000*Inputs!$B$9)</f>
        <v>2.88</v>
      </c>
    </row>
    <row r="16" customFormat="false" ht="15" hidden="false" customHeight="false" outlineLevel="0" collapsed="false">
      <c r="A16" s="20" t="s">
        <v>67</v>
      </c>
    </row>
    <row r="17" customFormat="false" ht="15" hidden="false" customHeight="false" outlineLevel="0" collapsed="false">
      <c r="A17" s="2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5" t="s">
        <v>58</v>
      </c>
      <c r="B4" s="5" t="s">
        <v>59</v>
      </c>
      <c r="C4" s="5" t="s">
        <v>71</v>
      </c>
      <c r="D4" s="5" t="s">
        <v>62</v>
      </c>
      <c r="E4" s="5" t="s">
        <v>72</v>
      </c>
    </row>
    <row r="5" customFormat="false" ht="15" hidden="false" customHeight="false" outlineLevel="0" collapsed="false">
      <c r="A5" s="16" t="n">
        <f aca="false">Takt!A5</f>
        <v>10000</v>
      </c>
      <c r="B5" s="15" t="n">
        <f aca="false">Takt!B5</f>
        <v>24</v>
      </c>
      <c r="C5" s="16" t="n">
        <f aca="false">ROUNDUP(Inputs!$B$12/(B5*Inputs!$B$13),0)</f>
        <v>45</v>
      </c>
      <c r="D5" s="17" t="n">
        <f aca="false">Takt!E5</f>
        <v>19.2</v>
      </c>
      <c r="E5" s="16" t="n">
        <f aca="false">ROUNDUP(Inputs!$B$14/D5,0)</f>
        <v>2</v>
      </c>
    </row>
    <row r="6" customFormat="false" ht="15" hidden="false" customHeight="false" outlineLevel="0" collapsed="false">
      <c r="A6" s="16" t="n">
        <f aca="false">Takt!A6</f>
        <v>25000</v>
      </c>
      <c r="B6" s="15" t="n">
        <f aca="false">Takt!B6</f>
        <v>9.6</v>
      </c>
      <c r="C6" s="16" t="n">
        <f aca="false">ROUNDUP(Inputs!$B$12/(B6*Inputs!$B$13),0)</f>
        <v>111</v>
      </c>
      <c r="D6" s="17" t="n">
        <f aca="false">Takt!E6</f>
        <v>7.68</v>
      </c>
      <c r="E6" s="16" t="n">
        <f aca="false">ROUNDUP(Inputs!$B$14/D6,0)</f>
        <v>4</v>
      </c>
    </row>
    <row r="7" customFormat="false" ht="15" hidden="false" customHeight="false" outlineLevel="0" collapsed="false">
      <c r="A7" s="16" t="n">
        <f aca="false">Takt!A7</f>
        <v>50000</v>
      </c>
      <c r="B7" s="15" t="n">
        <f aca="false">Takt!B7</f>
        <v>4.8</v>
      </c>
      <c r="C7" s="16" t="n">
        <f aca="false">ROUNDUP(Inputs!$B$12/(B7*Inputs!$B$13),0)</f>
        <v>221</v>
      </c>
      <c r="D7" s="17" t="n">
        <f aca="false">Takt!E7</f>
        <v>3.84</v>
      </c>
      <c r="E7" s="16" t="n">
        <f aca="false">ROUNDUP(Inputs!$B$14/D7,0)</f>
        <v>8</v>
      </c>
    </row>
    <row r="8" customFormat="false" ht="15" hidden="false" customHeight="false" outlineLevel="0" collapsed="false">
      <c r="A8" s="16" t="n">
        <f aca="false">Takt!A8</f>
        <v>100000</v>
      </c>
      <c r="B8" s="15" t="n">
        <f aca="false">Takt!B8</f>
        <v>2.4</v>
      </c>
      <c r="C8" s="16" t="n">
        <f aca="false">ROUNDUP(Inputs!$B$12/(B8*Inputs!$B$13),0)</f>
        <v>442</v>
      </c>
      <c r="D8" s="17" t="n">
        <f aca="false">Takt!E8</f>
        <v>1.92</v>
      </c>
      <c r="E8" s="16" t="n">
        <f aca="false">ROUNDUP(Inputs!$B$14/D8,0)</f>
        <v>16</v>
      </c>
    </row>
    <row r="10" customFormat="false" ht="15" hidden="false" customHeight="false" outlineLevel="0" collapsed="false">
      <c r="A10" s="2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26.85" hidden="false" customHeight="false" outlineLevel="0" collapsed="false">
      <c r="A4" s="5" t="s">
        <v>76</v>
      </c>
      <c r="B4" s="5" t="s">
        <v>77</v>
      </c>
      <c r="C4" s="5" t="s">
        <v>78</v>
      </c>
      <c r="D4" s="5" t="s">
        <v>79</v>
      </c>
      <c r="E4" s="5" t="s">
        <v>80</v>
      </c>
    </row>
    <row r="5" customFormat="false" ht="15" hidden="false" customHeight="false" outlineLevel="0" collapsed="false">
      <c r="A5" s="6" t="s">
        <v>81</v>
      </c>
      <c r="B5" s="12" t="n">
        <v>1800</v>
      </c>
      <c r="C5" s="10" t="n">
        <v>1</v>
      </c>
      <c r="D5" s="21" t="n">
        <f aca="false">INT(B5/C5)</f>
        <v>1800</v>
      </c>
      <c r="E5" s="22" t="str">
        <f aca="false">IF(D5=$B$11,"◄ CONSTRAINT","")</f>
        <v/>
      </c>
    </row>
    <row r="6" customFormat="false" ht="15" hidden="false" customHeight="false" outlineLevel="0" collapsed="false">
      <c r="A6" s="6" t="s">
        <v>82</v>
      </c>
      <c r="B6" s="12" t="n">
        <v>1300</v>
      </c>
      <c r="C6" s="10" t="n">
        <v>1</v>
      </c>
      <c r="D6" s="21" t="n">
        <f aca="false">INT(B6/C6)</f>
        <v>1300</v>
      </c>
      <c r="E6" s="22" t="str">
        <f aca="false">IF(D6=$B$11,"◄ CONSTRAINT","")</f>
        <v/>
      </c>
    </row>
    <row r="7" customFormat="false" ht="15" hidden="false" customHeight="false" outlineLevel="0" collapsed="false">
      <c r="A7" s="6" t="s">
        <v>83</v>
      </c>
      <c r="B7" s="12" t="n">
        <v>1900</v>
      </c>
      <c r="C7" s="10" t="n">
        <v>2</v>
      </c>
      <c r="D7" s="21" t="n">
        <f aca="false">INT(B7/C7)</f>
        <v>950</v>
      </c>
      <c r="E7" s="22" t="str">
        <f aca="false">IF(D7=$B$11,"◄ CONSTRAINT","")</f>
        <v>◄ CONSTRAINT</v>
      </c>
    </row>
    <row r="8" customFormat="false" ht="15" hidden="false" customHeight="false" outlineLevel="0" collapsed="false">
      <c r="A8" s="6" t="s">
        <v>84</v>
      </c>
      <c r="B8" s="12" t="n">
        <v>2400</v>
      </c>
      <c r="C8" s="10" t="n">
        <v>2</v>
      </c>
      <c r="D8" s="21" t="n">
        <f aca="false">INT(B8/C8)</f>
        <v>1200</v>
      </c>
      <c r="E8" s="22" t="str">
        <f aca="false">IF(D8=$B$11,"◄ CONSTRAINT","")</f>
        <v/>
      </c>
    </row>
    <row r="9" customFormat="false" ht="15" hidden="false" customHeight="false" outlineLevel="0" collapsed="false">
      <c r="A9" s="6" t="s">
        <v>85</v>
      </c>
      <c r="B9" s="12" t="n">
        <v>1500</v>
      </c>
      <c r="C9" s="10" t="n">
        <v>1</v>
      </c>
      <c r="D9" s="21" t="n">
        <f aca="false">INT(B9/C9)</f>
        <v>1500</v>
      </c>
      <c r="E9" s="22" t="str">
        <f aca="false">IF(D9=$B$11,"◄ CONSTRAINT","")</f>
        <v/>
      </c>
    </row>
    <row r="11" customFormat="false" ht="15" hidden="false" customHeight="false" outlineLevel="0" collapsed="false">
      <c r="A11" s="3" t="s">
        <v>86</v>
      </c>
      <c r="B11" s="13" t="n">
        <f aca="false">MIN(D5:D9)</f>
        <v>950</v>
      </c>
    </row>
    <row r="12" customFormat="false" ht="15" hidden="false" customHeight="false" outlineLevel="0" collapsed="false">
      <c r="A12" s="6" t="s">
        <v>87</v>
      </c>
      <c r="B12" s="16" t="n">
        <f aca="false">Takt!A5/Inputs!B5*5</f>
        <v>200</v>
      </c>
    </row>
    <row r="13" customFormat="false" ht="15" hidden="false" customHeight="false" outlineLevel="0" collapsed="false">
      <c r="A13" s="6" t="s">
        <v>88</v>
      </c>
      <c r="B13" s="19" t="n">
        <f aca="false">B11/B12</f>
        <v>4.75</v>
      </c>
    </row>
    <row r="15" customFormat="false" ht="15" hidden="false" customHeight="false" outlineLevel="0" collapsed="false">
      <c r="A15" s="2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5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6" t="s">
        <v>92</v>
      </c>
      <c r="B4" s="12" t="n">
        <v>1200</v>
      </c>
    </row>
    <row r="5" customFormat="false" ht="15" hidden="false" customHeight="false" outlineLevel="0" collapsed="false">
      <c r="A5" s="6" t="s">
        <v>93</v>
      </c>
      <c r="B5" s="10" t="n">
        <v>2</v>
      </c>
    </row>
    <row r="6" customFormat="false" ht="15" hidden="false" customHeight="false" outlineLevel="0" collapsed="false">
      <c r="A6" s="6" t="s">
        <v>94</v>
      </c>
      <c r="B6" s="12" t="n">
        <v>200</v>
      </c>
    </row>
    <row r="7" customFormat="false" ht="15" hidden="false" customHeight="false" outlineLevel="0" collapsed="false">
      <c r="A7" s="6" t="s">
        <v>95</v>
      </c>
      <c r="B7" s="7" t="n">
        <v>6</v>
      </c>
    </row>
    <row r="8" customFormat="false" ht="15" hidden="false" customHeight="false" outlineLevel="0" collapsed="false">
      <c r="A8" s="6" t="s">
        <v>96</v>
      </c>
      <c r="B8" s="23" t="n">
        <v>450</v>
      </c>
    </row>
    <row r="10" customFormat="false" ht="31.5" hidden="false" customHeight="true" outlineLevel="0" collapsed="false">
      <c r="A10" s="5" t="s">
        <v>97</v>
      </c>
      <c r="B10" s="5" t="s">
        <v>98</v>
      </c>
      <c r="C10" s="5" t="s">
        <v>99</v>
      </c>
      <c r="D10" s="5" t="s">
        <v>100</v>
      </c>
      <c r="E10" s="5" t="s">
        <v>101</v>
      </c>
      <c r="F10" s="5" t="s">
        <v>102</v>
      </c>
    </row>
    <row r="11" customFormat="false" ht="15" hidden="false" customHeight="false" outlineLevel="0" collapsed="false">
      <c r="A11" s="10" t="n">
        <v>1</v>
      </c>
      <c r="B11" s="21" t="n">
        <f aca="false">$B$6</f>
        <v>200</v>
      </c>
      <c r="C11" s="21" t="n">
        <f aca="false">IF(A11&lt;$B$7,B11*$B$5,0)</f>
        <v>400</v>
      </c>
      <c r="D11" s="12" t="n">
        <v>0</v>
      </c>
      <c r="E11" s="21" t="n">
        <f aca="false">MAX(0,$B$4+D11-C11)</f>
        <v>800</v>
      </c>
      <c r="F11" s="21" t="n">
        <f aca="false">MAX(0,C11-($B$4+D11))</f>
        <v>0</v>
      </c>
    </row>
    <row r="12" customFormat="false" ht="15" hidden="false" customHeight="false" outlineLevel="0" collapsed="false">
      <c r="A12" s="10" t="n">
        <v>2</v>
      </c>
      <c r="B12" s="21" t="n">
        <f aca="false">$B$6</f>
        <v>200</v>
      </c>
      <c r="C12" s="21" t="n">
        <f aca="false">IF(A12&lt;$B$7,B12*$B$5,0)</f>
        <v>400</v>
      </c>
      <c r="D12" s="12" t="n">
        <v>400</v>
      </c>
      <c r="E12" s="21" t="n">
        <f aca="false">MAX(0,E11+D12-C12)</f>
        <v>800</v>
      </c>
      <c r="F12" s="21" t="n">
        <f aca="false">MAX(0,C12-(E11+D12))</f>
        <v>0</v>
      </c>
    </row>
    <row r="13" customFormat="false" ht="15" hidden="false" customHeight="false" outlineLevel="0" collapsed="false">
      <c r="A13" s="10" t="n">
        <v>3</v>
      </c>
      <c r="B13" s="21" t="n">
        <f aca="false">$B$6</f>
        <v>200</v>
      </c>
      <c r="C13" s="21" t="n">
        <f aca="false">IF(A13&lt;$B$7,B13*$B$5,0)</f>
        <v>400</v>
      </c>
      <c r="D13" s="12" t="n">
        <v>400</v>
      </c>
      <c r="E13" s="21" t="n">
        <f aca="false">MAX(0,E12+D13-C13)</f>
        <v>800</v>
      </c>
      <c r="F13" s="21" t="n">
        <f aca="false">MAX(0,C13-(E12+D13))</f>
        <v>0</v>
      </c>
    </row>
    <row r="14" customFormat="false" ht="15" hidden="false" customHeight="false" outlineLevel="0" collapsed="false">
      <c r="A14" s="10" t="n">
        <v>4</v>
      </c>
      <c r="B14" s="21" t="n">
        <f aca="false">$B$6</f>
        <v>200</v>
      </c>
      <c r="C14" s="21" t="n">
        <f aca="false">IF(A14&lt;$B$7,B14*$B$5,0)</f>
        <v>400</v>
      </c>
      <c r="D14" s="12" t="n">
        <v>400</v>
      </c>
      <c r="E14" s="21" t="n">
        <f aca="false">MAX(0,E13+D14-C14)</f>
        <v>800</v>
      </c>
      <c r="F14" s="21" t="n">
        <f aca="false">MAX(0,C14-(E13+D14))</f>
        <v>0</v>
      </c>
    </row>
    <row r="15" customFormat="false" ht="15" hidden="false" customHeight="false" outlineLevel="0" collapsed="false">
      <c r="A15" s="10" t="n">
        <v>5</v>
      </c>
      <c r="B15" s="21" t="n">
        <f aca="false">$B$6</f>
        <v>200</v>
      </c>
      <c r="C15" s="21" t="n">
        <f aca="false">IF(A15&lt;$B$7,B15*$B$5,0)</f>
        <v>400</v>
      </c>
      <c r="D15" s="12" t="n">
        <v>400</v>
      </c>
      <c r="E15" s="21" t="n">
        <f aca="false">MAX(0,E14+D15-C15)</f>
        <v>800</v>
      </c>
      <c r="F15" s="21" t="n">
        <f aca="false">MAX(0,C15-(E14+D15))</f>
        <v>0</v>
      </c>
    </row>
    <row r="16" customFormat="false" ht="15" hidden="false" customHeight="false" outlineLevel="0" collapsed="false">
      <c r="A16" s="10" t="n">
        <v>6</v>
      </c>
      <c r="B16" s="21" t="n">
        <f aca="false">$B$6</f>
        <v>200</v>
      </c>
      <c r="C16" s="21" t="n">
        <f aca="false">IF(A16&lt;$B$7,B16*$B$5,0)</f>
        <v>0</v>
      </c>
      <c r="D16" s="12" t="n">
        <v>400</v>
      </c>
      <c r="E16" s="21" t="n">
        <f aca="false">MAX(0,E15+D16-C16)</f>
        <v>1200</v>
      </c>
      <c r="F16" s="21" t="n">
        <f aca="false">MAX(0,C16-(E15+D16))</f>
        <v>0</v>
      </c>
    </row>
    <row r="17" customFormat="false" ht="15" hidden="false" customHeight="false" outlineLevel="0" collapsed="false">
      <c r="A17" s="10" t="n">
        <v>7</v>
      </c>
      <c r="B17" s="21" t="n">
        <f aca="false">$B$6</f>
        <v>200</v>
      </c>
      <c r="C17" s="21" t="n">
        <f aca="false">IF(A17&lt;$B$7,B17*$B$5,0)</f>
        <v>0</v>
      </c>
      <c r="D17" s="12" t="n">
        <v>0</v>
      </c>
      <c r="E17" s="21" t="n">
        <f aca="false">MAX(0,E16+D17-C17)</f>
        <v>1200</v>
      </c>
      <c r="F17" s="21" t="n">
        <f aca="false">MAX(0,C17-(E16+D17))</f>
        <v>0</v>
      </c>
    </row>
    <row r="18" customFormat="false" ht="15" hidden="false" customHeight="false" outlineLevel="0" collapsed="false">
      <c r="A18" s="10" t="n">
        <v>8</v>
      </c>
      <c r="B18" s="21" t="n">
        <f aca="false">$B$6</f>
        <v>200</v>
      </c>
      <c r="C18" s="21" t="n">
        <f aca="false">IF(A18&lt;$B$7,B18*$B$5,0)</f>
        <v>0</v>
      </c>
      <c r="D18" s="12" t="n">
        <v>0</v>
      </c>
      <c r="E18" s="21" t="n">
        <f aca="false">MAX(0,E17+D18-C18)</f>
        <v>1200</v>
      </c>
      <c r="F18" s="21" t="n">
        <f aca="false">MAX(0,C18-(E17+D18))</f>
        <v>0</v>
      </c>
    </row>
    <row r="19" customFormat="false" ht="15" hidden="false" customHeight="false" outlineLevel="0" collapsed="false">
      <c r="A19" s="10" t="n">
        <v>9</v>
      </c>
      <c r="B19" s="21" t="n">
        <f aca="false">$B$6</f>
        <v>200</v>
      </c>
      <c r="C19" s="21" t="n">
        <f aca="false">IF(A19&lt;$B$7,B19*$B$5,0)</f>
        <v>0</v>
      </c>
      <c r="D19" s="12" t="n">
        <v>0</v>
      </c>
      <c r="E19" s="21" t="n">
        <f aca="false">MAX(0,E18+D19-C19)</f>
        <v>1200</v>
      </c>
      <c r="F19" s="21" t="n">
        <f aca="false">MAX(0,C19-(E18+D19))</f>
        <v>0</v>
      </c>
    </row>
    <row r="20" customFormat="false" ht="15" hidden="false" customHeight="false" outlineLevel="0" collapsed="false">
      <c r="A20" s="10" t="n">
        <v>10</v>
      </c>
      <c r="B20" s="21" t="n">
        <f aca="false">$B$6</f>
        <v>200</v>
      </c>
      <c r="C20" s="21" t="n">
        <f aca="false">IF(A20&lt;$B$7,B20*$B$5,0)</f>
        <v>0</v>
      </c>
      <c r="D20" s="12" t="n">
        <v>0</v>
      </c>
      <c r="E20" s="21" t="n">
        <f aca="false">MAX(0,E19+D20-C20)</f>
        <v>1200</v>
      </c>
      <c r="F20" s="21" t="n">
        <f aca="false">MAX(0,C20-(E19+D20))</f>
        <v>0</v>
      </c>
    </row>
    <row r="21" customFormat="false" ht="15" hidden="false" customHeight="false" outlineLevel="0" collapsed="false">
      <c r="A21" s="10" t="n">
        <v>11</v>
      </c>
      <c r="B21" s="21" t="n">
        <f aca="false">$B$6</f>
        <v>200</v>
      </c>
      <c r="C21" s="21" t="n">
        <f aca="false">IF(A21&lt;$B$7,B21*$B$5,0)</f>
        <v>0</v>
      </c>
      <c r="D21" s="12" t="n">
        <v>0</v>
      </c>
      <c r="E21" s="21" t="n">
        <f aca="false">MAX(0,E20+D21-C21)</f>
        <v>1200</v>
      </c>
      <c r="F21" s="21" t="n">
        <f aca="false">MAX(0,C21-(E20+D21))</f>
        <v>0</v>
      </c>
    </row>
    <row r="22" customFormat="false" ht="15" hidden="false" customHeight="false" outlineLevel="0" collapsed="false">
      <c r="A22" s="10" t="n">
        <v>12</v>
      </c>
      <c r="B22" s="21" t="n">
        <f aca="false">$B$6</f>
        <v>200</v>
      </c>
      <c r="C22" s="21" t="n">
        <f aca="false">IF(A22&lt;$B$7,B22*$B$5,0)</f>
        <v>0</v>
      </c>
      <c r="D22" s="12" t="n">
        <v>0</v>
      </c>
      <c r="E22" s="21" t="n">
        <f aca="false">MAX(0,E21+D22-C22)</f>
        <v>1200</v>
      </c>
      <c r="F22" s="21" t="n">
        <f aca="false">MAX(0,C22-(E21+D22))</f>
        <v>0</v>
      </c>
    </row>
    <row r="24" customFormat="false" ht="15" hidden="false" customHeight="false" outlineLevel="0" collapsed="false">
      <c r="A24" s="3" t="s">
        <v>103</v>
      </c>
      <c r="B24" s="21" t="n">
        <f aca="false">SUM(F11:F22)</f>
        <v>0</v>
      </c>
    </row>
    <row r="25" customFormat="false" ht="15" hidden="false" customHeight="false" outlineLevel="0" collapsed="false">
      <c r="A25" s="3" t="s">
        <v>104</v>
      </c>
      <c r="B25" s="13" t="n">
        <f aca="false">INDEX(E11:E22,12)</f>
        <v>1200</v>
      </c>
    </row>
    <row r="26" customFormat="false" ht="15" hidden="false" customHeight="false" outlineLevel="0" collapsed="false">
      <c r="A26" s="3" t="s">
        <v>105</v>
      </c>
      <c r="B26" s="24" t="n">
        <f aca="false">B25*B8</f>
        <v>540000</v>
      </c>
    </row>
    <row r="28" customFormat="false" ht="15" hidden="false" customHeight="false" outlineLevel="0" collapsed="false">
      <c r="A28" s="2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2026-10-29T21:18:49Z</dcterms:created>
  <dc:creator>openpyxl</dc:creator>
  <dc:description/>
  <dc:language>en-US</dc:language>
  <cp:lastModifiedBy/>
  <dcterms:modified xsi:type="dcterms:W3CDTF">2026-10-29T21:18:50Z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